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G:\Shared drives\GliderGroup\slocum\checklists-and-manuals\"/>
    </mc:Choice>
  </mc:AlternateContent>
  <xr:revisionPtr revIDLastSave="0" documentId="13_ncr:1_{4DA6DDEE-08D6-4F3F-B883-BCF00B25E903}" xr6:coauthVersionLast="47" xr6:coauthVersionMax="47" xr10:uidLastSave="{00000000-0000-0000-0000-000000000000}"/>
  <bookViews>
    <workbookView xWindow="53835" yWindow="-3225" windowWidth="25215" windowHeight="20385" tabRatio="813" activeTab="8" xr2:uid="{00000000-000D-0000-FFFF-FFFF00000000}"/>
  </bookViews>
  <sheets>
    <sheet name="Ballast" sheetId="1" r:id="rId1"/>
    <sheet name="Constants" sheetId="6" r:id="rId2"/>
    <sheet name="Worksheet" sheetId="4" r:id="rId3"/>
    <sheet name="G1" sheetId="15" r:id="rId4"/>
    <sheet name="G2" sheetId="17" r:id="rId5"/>
    <sheet name="G3" sheetId="20" r:id="rId6"/>
    <sheet name="G3 (External Only)" sheetId="21" r:id="rId7"/>
    <sheet name="Revision History" sheetId="14" r:id="rId8"/>
    <sheet name="Notes" sheetId="22" r:id="rId9"/>
  </sheets>
  <definedNames>
    <definedName name="Advanced">Ballast!$D$35</definedName>
    <definedName name="aft_config" localSheetId="4">Constants!$G$12:$G$16</definedName>
    <definedName name="aft_config" localSheetId="5">Constants!$G$12:$G$16</definedName>
    <definedName name="aft_config" localSheetId="6">Constants!$G$12:$G$16</definedName>
    <definedName name="aft_config">Constants!$E$11:$E$15</definedName>
    <definedName name="battery_type" localSheetId="4">Constants!$F$12:$F$13</definedName>
    <definedName name="battery_type" localSheetId="5">Constants!$F$12:$F$13</definedName>
    <definedName name="battery_type" localSheetId="6">Constants!$F$12:$F$13</definedName>
    <definedName name="battery_type">Constants!$D$11:$D$12</definedName>
    <definedName name="Bays">Constants!$I$106:$I$109</definedName>
    <definedName name="Double_O_Ring" localSheetId="5">Ballast!#REF!</definedName>
    <definedName name="Double_O_Ring" localSheetId="6">Ballast!#REF!</definedName>
    <definedName name="Double_O_Ring">Ballast!#REF!</definedName>
    <definedName name="ES_Shallow__100m">Constants!$F$104</definedName>
    <definedName name="G1_Deep__1000m" localSheetId="6">Constants!#REF!</definedName>
    <definedName name="G1_Deep__1000m">Constants!#REF!</definedName>
    <definedName name="G1_Shallow__200m" localSheetId="6">Constants!#REF!</definedName>
    <definedName name="G1_Shallow__200m">Constants!#REF!</definedName>
    <definedName name="G2_Deep__1000m" localSheetId="1">Constants!#REF!</definedName>
    <definedName name="G2_Deep__1000m">Ballast!$D$29</definedName>
    <definedName name="G2_Shallow____200m" localSheetId="6">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4">Constants!$H$12:$H$14</definedName>
    <definedName name="nose_config" localSheetId="5">Constants!$H$12:$H$14</definedName>
    <definedName name="nose_config" localSheetId="6">Constants!$H$12:$H$14</definedName>
    <definedName name="nose_config">Constants!$G$11:$G$14</definedName>
    <definedName name="Pick_Point" localSheetId="1">Ballast!$D$29</definedName>
    <definedName name="Pick_Point" localSheetId="5">Constants!#REF!</definedName>
    <definedName name="Pick_Point" localSheetId="6">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1">Constants!$A$1:$K$111</definedName>
    <definedName name="_xlnm.Print_Area" localSheetId="3">'G1'!$A$1:$E$63</definedName>
    <definedName name="_xlnm.Print_Area" localSheetId="4">'G2'!$A$1:$E$64</definedName>
    <definedName name="_xlnm.Print_Area" localSheetId="5">'G3'!$A$1:$E$70</definedName>
    <definedName name="_xlnm.Print_Area" localSheetId="6">'G3 (External Only)'!$A$1:$E$54</definedName>
    <definedName name="_xlnm.Print_Area" localSheetId="7">'Revision History'!$A$1:$D$17</definedName>
    <definedName name="_xlnm.Print_Area" localSheetId="2">Worksheet!$A$1:$H$54</definedName>
    <definedName name="_xlnm.Print_Titles" localSheetId="0">Ballast!$1:$6</definedName>
    <definedName name="_xlnm.Print_Titles" localSheetId="1">Constants!$1:$6</definedName>
    <definedName name="Thruster">Ballast!$D$28</definedName>
    <definedName name="Volumes">Ballast!$G$123:$H$124</definedName>
    <definedName name="weight_type" localSheetId="4">Constants!#REF!</definedName>
    <definedName name="weight_type" localSheetId="5">Constants!#REF!</definedName>
    <definedName name="weight_type" localSheetId="6">Constants!#REF!</definedName>
    <definedName name="weight_type">Constants!$H$11:$H$12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2" i="20" l="1"/>
  <c r="H4" i="6" l="1"/>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G16" i="4"/>
  <c r="H39" i="1" l="1"/>
  <c r="H45" i="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<sst xmlns="http://schemas.openxmlformats.org/spreadsheetml/2006/main" count="640" uniqueCount="337">
  <si>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</si>
  <si>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</si>
  <si>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</si>
  <si>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</si>
  <si>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</si>
  <si>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</si>
  <si>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</si>
  <si>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</si>
  <si>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</si>
  <si>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</si>
  <si>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</si>
  <si>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</si>
  <si>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</si>
  <si>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</si>
  <si>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</si>
  <si>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</si>
  <si>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</si>
  <si>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</si>
  <si>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</si>
  <si>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</si>
  <si>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</si>
  <si>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</si>
  <si>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</si>
  <si>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</si>
  <si>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</si>
  <si>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</si>
  <si>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</si>
  <si>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</si>
  <si>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</si>
  <si>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</si>
  <si>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</si>
  <si>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</si>
  <si>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</si>
  <si>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</si>
  <si>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</si>
  <si>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</si>
  <si>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</si>
  <si>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</si>
  <si>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</si>
  <si>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</si>
  <si>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</si>
  <si>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</si>
  <si>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</si>
  <si>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</si>
  <si>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</si>
  <si>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</si>
  <si>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</si>
  <si>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</si>
  <si>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</si>
  <si>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</si>
  <si>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</si>
  <si>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</si>
  <si>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</si>
  <si>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</si>
  <si>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</si>
  <si>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</si>
  <si>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</si>
  <si>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</si>
  <si>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</si>
  <si>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</si>
  <si>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</si>
  <si>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</si>
  <si>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</si>
  <si>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</si>
  <si>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</si>
  <si>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</si>
  <si>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</si>
  <si>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</si>
  <si>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</si>
  <si>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</si>
  <si>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</si>
  <si>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</si>
  <si>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</si>
  <si>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</si>
  <si>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</si>
  <si>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</si>
  <si>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</si>
  <si>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</si>
  <si>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</si>
  <si>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</si>
  <si>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</si>
  <si>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</si>
  <si>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</si>
  <si>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</si>
  <si>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</si>
  <si>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</si>
  <si>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</si>
  <si>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</si>
  <si>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</si>
  <si>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</si>
  <si>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</si>
  <si>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</si>
  <si>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</si>
  <si>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</si>
  <si>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</si>
  <si>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</si>
  <si>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</si>
  <si>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</si>
  <si>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</si>
  <si>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</si>
  <si>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</si>
  <si>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</si>
  <si>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</si>
  <si>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</si>
  <si>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</si>
  <si>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</si>
  <si>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</si>
  <si>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</si>
  <si>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</si>
  <si>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</si>
  <si>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</si>
  <si>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</si>
  <si>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</si>
  <si>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</si>
  <si>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</si>
  <si>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</si>
  <si>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</si>
  <si>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</si>
  <si>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</si>
  <si>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</si>
  <si>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</si>
  <si>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</si>
  <si>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</si>
  <si>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</si>
  <si>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</si>
  <si>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</si>
  <si>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</si>
  <si>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</si>
  <si>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</si>
  <si>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</si>
  <si>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</si>
  <si>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</si>
  <si>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</si>
  <si>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</si>
  <si>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</si>
  <si>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</si>
  <si>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</si>
  <si>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</si>
  <si>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</si>
  <si>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</si>
  <si>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</si>
  <si>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</si>
  <si>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</si>
  <si>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</si>
  <si>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</si>
  <si>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</si>
  <si>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</si>
  <si>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</si>
  <si>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</si>
  <si>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</si>
  <si>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</si>
  <si>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</si>
  <si>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</si>
  <si>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</si>
  <si>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</si>
  <si>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</si>
  <si>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</si>
  <si>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</si>
  <si>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</si>
  <si>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</si>
  <si>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</si>
  <si>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</si>
  <si>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</si>
  <si>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</si>
  <si>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</si>
  <si>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</si>
  <si>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</si>
  <si>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</si>
  <si>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</si>
  <si>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</si>
  <si>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</si>
  <si>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</si>
  <si>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</si>
  <si>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</si>
  <si>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</si>
  <si>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</si>
  <si>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</si>
  <si>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</si>
  <si>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</si>
  <si>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</si>
  <si>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</si>
  <si>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</si>
  <si>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</si>
  <si>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</si>
  <si>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</si>
  <si>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</si>
  <si>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</si>
  <si>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</si>
  <si>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</si>
  <si>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</si>
  <si>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</si>
  <si>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</si>
  <si>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</si>
  <si>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</si>
  <si>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</si>
  <si>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</si>
  <si>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</si>
  <si>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</si>
  <si>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</si>
  <si>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</si>
  <si>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</si>
  <si>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</si>
  <si>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</si>
  <si>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</si>
  <si>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</si>
  <si>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</si>
  <si>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</si>
  <si>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</si>
  <si>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</si>
  <si>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</si>
  <si>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</si>
  <si>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</si>
  <si>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</si>
  <si>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</si>
  <si>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</si>
  <si>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</si>
  <si>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</si>
  <si>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</si>
  <si>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</si>
  <si>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</si>
  <si>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</si>
  <si>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</si>
  <si>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</si>
  <si>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</si>
  <si>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</si>
  <si>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</si>
  <si>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</si>
  <si>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</si>
  <si>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</si>
  <si>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</si>
  <si>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</si>
  <si>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</si>
  <si>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</si>
  <si>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</si>
  <si>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</si>
  <si>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</si>
  <si>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</si>
  <si>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</si>
  <si>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</si>
  <si>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</si>
  <si>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</si>
  <si>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</si>
  <si>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</si>
  <si>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</si>
  <si>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</si>
  <si>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</si>
  <si>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</si>
  <si>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</si>
  <si>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</si>
  <si>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</si>
  <si>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</si>
  <si>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</si>
  <si>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</si>
  <si>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</si>
  <si>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</si>
  <si>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</si>
  <si>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</si>
  <si>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</si>
  <si>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</si>
  <si>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</si>
  <si>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</si>
  <si>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</si>
  <si>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</si>
  <si>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</si>
  <si>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</si>
  <si>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</si>
  <si>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</si>
  <si>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</si>
  <si>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</si>
  <si>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</si>
  <si>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</si>
  <si>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</si>
  <si>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</si>
  <si>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</si>
  <si>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</si>
  <si>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</si>
  <si>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</si>
  <si>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</si>
  <si>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</si>
  <si>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</si>
  <si>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</si>
  <si>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</si>
  <si>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</si>
  <si>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</si>
  <si>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</si>
  <si>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</si>
  <si>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</si>
  <si>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</si>
  <si>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</si>
  <si>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</si>
  <si>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</si>
  <si>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</si>
  <si>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</si>
  <si>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</si>
  <si>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</si>
  <si>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</si>
  <si>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</si>
  <si>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</si>
  <si>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</si>
  <si>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</si>
  <si>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</si>
  <si>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</si>
  <si>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</si>
  <si>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</si>
  <si>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</si>
  <si>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</si>
  <si>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</si>
  <si>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</si>
  <si>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</si>
  <si>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</si>
  <si>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</si>
  <si>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</si>
  <si>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</si>
  <si>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</si>
  <si>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</si>
  <si>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</si>
  <si>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</si>
  <si>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</si>
  <si>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</si>
  <si>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</si>
  <si>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</si>
  <si>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</si>
  <si>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</si>
  <si>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</si>
  <si>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</si>
  <si>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</si>
  <si>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</si>
  <si>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</si>
  <si>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ASSY G-1405-L (Standard G3 - 20.25'')</t>
  </si>
  <si>
    <t>ASSY G-1405-3 (21.75'')</t>
  </si>
  <si>
    <t>Standard PL Bay (10.6'')</t>
  </si>
  <si>
    <t>Date</t>
  </si>
  <si>
    <t>Initials</t>
  </si>
  <si>
    <t>Note</t>
  </si>
  <si>
    <t>BVW</t>
  </si>
  <si>
    <t xml:space="preserve">This is the OG G3 ballasting sheet provided by TWR. I created this and used the exact same temperature and salinity as in the G2 sheet that I used to ballast osu1138 for the May and July deployments. </t>
  </si>
  <si>
    <t xml:space="preserve">This G3 sheet suggests that the glider volume is 62.01L, whereas the G2 sheet suggest it is 57.73L. The G3 sheet says to add 541.8 g while the G2 sheet says to add 431g.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</si>
</sst>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d\-mmm\-yyyy"/>
    <numFmt numFmtId="166" formatCode="0.0"/>
    <numFmt numFmtId="167" formatCode="0.000"/>
    <numFmt numFmtId="168" formatCode="mm/dd/yy;@"/>
  </numFmts>
  <fonts count="36"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
      <sz val="10"/>
      <color theme="1"/>
      <name val="Arial"/>
    </font>
  </fonts>
  <fills count="12">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
      <patternFill patternType="solid">
        <fgColor rgb="FF99CCFF"/>
        <bgColor rgb="FF99CCFF"/>
      </patternFill>
    </fill>
  </fills>
  <borders count="7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67">
    <xf numFmtId="0" fontId="0" fillId="0" borderId="0" xfId="0"/>
    <xf numFmtId="0" fontId="0" fillId="0" borderId="0" xfId="0" applyProtection="1">
      <protection hidden="1"/>
    </xf>
    <xf numFmtId="0" fontId="0" fillId="0" borderId="0" xfId="0" applyAlignment="1" applyProtection="1">
      <alignment vertical="top" wrapText="1"/>
      <protection hidden="1"/>
    </xf>
    <xf numFmtId="0" fontId="2" fillId="0" borderId="0" xfId="0" applyFont="1" applyProtection="1">
      <protection hidden="1"/>
    </xf>
    <xf numFmtId="0" fontId="8" fillId="0" borderId="1" xfId="0" applyFont="1" applyBorder="1" applyProtection="1">
      <protection hidden="1"/>
    </xf>
    <xf numFmtId="0" fontId="8" fillId="0" borderId="2" xfId="0" applyFont="1" applyBorder="1" applyProtection="1">
      <protection hidden="1"/>
    </xf>
    <xf numFmtId="0" fontId="8" fillId="0" borderId="3" xfId="0" applyFont="1" applyBorder="1" applyProtection="1">
      <protection hidden="1"/>
    </xf>
    <xf numFmtId="0" fontId="8" fillId="0" borderId="4" xfId="0" applyFont="1" applyBorder="1" applyProtection="1">
      <protection hidden="1"/>
    </xf>
    <xf numFmtId="0" fontId="8" fillId="0" borderId="0" xfId="0" applyFont="1" applyProtection="1">
      <protection hidden="1"/>
    </xf>
    <xf numFmtId="0" fontId="8" fillId="0" borderId="5" xfId="0" applyFont="1" applyBorder="1" applyProtection="1">
      <protection hidden="1"/>
    </xf>
    <xf numFmtId="0" fontId="8" fillId="0" borderId="4" xfId="0" applyFont="1" applyBorder="1" applyAlignment="1" applyProtection="1">
      <alignment textRotation="69"/>
      <protection hidden="1"/>
    </xf>
    <xf numFmtId="0" fontId="8" fillId="0" borderId="5" xfId="0" applyFont="1" applyBorder="1" applyAlignment="1" applyProtection="1">
      <alignment textRotation="69"/>
      <protection hidden="1"/>
    </xf>
    <xf numFmtId="0" fontId="0" fillId="0" borderId="0" xfId="0" applyAlignment="1" applyProtection="1">
      <alignment textRotation="69"/>
      <protection hidden="1"/>
    </xf>
    <xf numFmtId="0" fontId="0" fillId="0" borderId="0" xfId="0" applyAlignment="1" applyProtection="1">
      <alignment vertical="top" textRotation="69" wrapText="1"/>
      <protection hidden="1"/>
    </xf>
    <xf numFmtId="166" fontId="8" fillId="0" borderId="5" xfId="0" applyNumberFormat="1" applyFont="1" applyBorder="1" applyProtection="1">
      <protection hidden="1"/>
    </xf>
    <xf numFmtId="166" fontId="0" fillId="0" borderId="0" xfId="0" applyNumberFormat="1" applyProtection="1">
      <protection hidden="1"/>
    </xf>
    <xf numFmtId="166" fontId="0" fillId="0" borderId="0" xfId="0" applyNumberFormat="1" applyAlignment="1" applyProtection="1">
      <alignment vertical="top" wrapText="1"/>
      <protection hidden="1"/>
    </xf>
    <xf numFmtId="0" fontId="8" fillId="0" borderId="6" xfId="0" applyFont="1" applyBorder="1" applyProtection="1">
      <protection hidden="1"/>
    </xf>
    <xf numFmtId="0" fontId="8" fillId="0" borderId="7" xfId="0" applyFont="1" applyBorder="1" applyProtection="1">
      <protection hidden="1"/>
    </xf>
    <xf numFmtId="166" fontId="8" fillId="0" borderId="8" xfId="0" applyNumberFormat="1" applyFont="1" applyBorder="1" applyProtection="1">
      <protection hidden="1"/>
    </xf>
    <xf numFmtId="166" fontId="5" fillId="0" borderId="0" xfId="0" applyNumberFormat="1" applyFont="1" applyProtection="1">
      <protection hidden="1"/>
    </xf>
    <xf numFmtId="0" fontId="2" fillId="0" borderId="0" xfId="0" applyFont="1"/>
    <xf numFmtId="0" fontId="4" fillId="0" borderId="0" xfId="0" applyFont="1"/>
    <xf numFmtId="0" fontId="0" fillId="0" borderId="0" xfId="0" applyAlignment="1">
      <alignment vertical="top" wrapText="1"/>
    </xf>
    <xf numFmtId="14" fontId="6" fillId="0" borderId="0" xfId="0" applyNumberFormat="1" applyFont="1"/>
    <xf numFmtId="14" fontId="2" fillId="0" borderId="1" xfId="0" applyNumberFormat="1" applyFont="1" applyBorder="1"/>
    <xf numFmtId="0" fontId="0" fillId="0" borderId="2" xfId="0" applyBorder="1"/>
    <xf numFmtId="0" fontId="0" fillId="0" borderId="3" xfId="0" applyBorder="1"/>
    <xf numFmtId="0" fontId="0" fillId="0" borderId="11" xfId="0" applyBorder="1"/>
    <xf numFmtId="0" fontId="0" fillId="0" borderId="12" xfId="0" applyBorder="1" applyAlignment="1">
      <alignment horizontal="right"/>
    </xf>
    <xf numFmtId="0" fontId="0" fillId="0" borderId="5" xfId="0" applyBorder="1"/>
    <xf numFmtId="0" fontId="0" fillId="0" borderId="4" xfId="0" applyBorder="1"/>
    <xf numFmtId="0" fontId="0" fillId="0" borderId="13" xfId="0" applyBorder="1" applyAlignment="1">
      <alignment horizontal="right"/>
    </xf>
    <xf numFmtId="0" fontId="0" fillId="0" borderId="14" xfId="0" applyBorder="1"/>
    <xf numFmtId="0" fontId="2" fillId="0" borderId="15" xfId="0" applyFont="1" applyBorder="1" applyAlignment="1">
      <alignment horizontal="right"/>
    </xf>
    <xf numFmtId="0" fontId="2" fillId="0" borderId="5" xfId="0" applyFont="1" applyBorder="1"/>
    <xf numFmtId="166" fontId="0" fillId="0" borderId="0" xfId="0" applyNumberFormat="1"/>
    <xf numFmtId="0" fontId="0" fillId="0" borderId="16" xfId="0" applyBorder="1" applyAlignment="1">
      <alignment horizontal="center"/>
    </xf>
    <xf numFmtId="166" fontId="0" fillId="0" borderId="16" xfId="0" applyNumberFormat="1" applyBorder="1" applyAlignment="1">
      <alignment horizontal="center"/>
    </xf>
    <xf numFmtId="0" fontId="0" fillId="0" borderId="17" xfId="0" applyBorder="1" applyAlignment="1">
      <alignment horizontal="center"/>
    </xf>
    <xf numFmtId="0" fontId="0" fillId="0" borderId="9" xfId="0" applyBorder="1"/>
    <xf numFmtId="0" fontId="0" fillId="0" borderId="6" xfId="0" applyBorder="1"/>
    <xf numFmtId="0" fontId="2" fillId="0" borderId="7" xfId="0" applyFont="1" applyBorder="1" applyAlignment="1">
      <alignment horizontal="right"/>
    </xf>
    <xf numFmtId="0" fontId="2" fillId="0" borderId="8" xfId="0" applyFont="1" applyBorder="1"/>
    <xf numFmtId="0" fontId="2" fillId="0" borderId="1" xfId="0" applyFont="1" applyBorder="1"/>
    <xf numFmtId="0" fontId="0" fillId="0" borderId="9" xfId="0" applyBorder="1" applyAlignment="1">
      <alignment horizontal="right"/>
    </xf>
    <xf numFmtId="0" fontId="0" fillId="0" borderId="18" xfId="0" applyBorder="1"/>
    <xf numFmtId="0" fontId="0" fillId="0" borderId="19" xfId="0" applyBorder="1"/>
    <xf numFmtId="0" fontId="0" fillId="0" borderId="8" xfId="0" applyBorder="1"/>
    <xf numFmtId="0" fontId="0" fillId="0" borderId="7" xfId="0" applyBorder="1"/>
    <xf numFmtId="0" fontId="0" fillId="0" borderId="21" xfId="0" applyBorder="1"/>
    <xf numFmtId="166" fontId="2" fillId="0" borderId="0" xfId="0" applyNumberFormat="1" applyFont="1" applyAlignment="1">
      <alignment vertical="top" wrapText="1"/>
    </xf>
    <xf numFmtId="166" fontId="2" fillId="0" borderId="0" xfId="0" applyNumberFormat="1" applyFont="1"/>
    <xf numFmtId="0" fontId="0" fillId="0" borderId="0" xfId="0" applyAlignment="1">
      <alignment horizontal="left"/>
    </xf>
    <xf numFmtId="166" fontId="0" fillId="0" borderId="7" xfId="0" applyNumberFormat="1" applyBorder="1"/>
    <xf numFmtId="0" fontId="0" fillId="0" borderId="7" xfId="0" applyBorder="1" applyAlignment="1">
      <alignment horizontal="left"/>
    </xf>
    <xf numFmtId="0" fontId="2" fillId="0" borderId="0" xfId="0" applyFont="1" applyAlignment="1">
      <alignment wrapText="1" shrinkToFit="1"/>
    </xf>
    <xf numFmtId="0" fontId="0" fillId="0" borderId="0" xfId="0" applyAlignment="1">
      <alignment vertical="top" wrapText="1" shrinkToFit="1"/>
    </xf>
    <xf numFmtId="0" fontId="0" fillId="0" borderId="0" xfId="0" applyAlignment="1">
      <alignment wrapText="1" shrinkToFit="1"/>
    </xf>
    <xf numFmtId="0" fontId="0" fillId="0" borderId="0" xfId="0" applyAlignment="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lignment vertical="top" wrapText="1"/>
    </xf>
    <xf numFmtId="0" fontId="0" fillId="0" borderId="0" xfId="0" applyAlignment="1">
      <alignment vertical="center"/>
    </xf>
    <xf numFmtId="0" fontId="0" fillId="0" borderId="9" xfId="0" applyBorder="1" applyAlignment="1">
      <alignment vertical="center"/>
    </xf>
    <xf numFmtId="0" fontId="0" fillId="0" borderId="10" xfId="0"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lignment horizontal="center" vertical="center"/>
    </xf>
    <xf numFmtId="0" fontId="1" fillId="0" borderId="0" xfId="0" applyFont="1" applyAlignment="1">
      <alignment vertical="center"/>
    </xf>
    <xf numFmtId="0" fontId="0" fillId="0" borderId="0" xfId="0" applyAlignment="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Alignment="1">
      <alignment vertical="center"/>
    </xf>
    <xf numFmtId="164" fontId="0" fillId="0" borderId="0" xfId="0" applyNumberFormat="1" applyAlignment="1">
      <alignment horizontal="right" vertical="center"/>
    </xf>
    <xf numFmtId="0" fontId="4" fillId="0" borderId="0" xfId="0" applyFont="1" applyAlignment="1">
      <alignment vertical="center"/>
    </xf>
    <xf numFmtId="164" fontId="4" fillId="2" borderId="9" xfId="0" applyNumberFormat="1" applyFont="1" applyFill="1" applyBorder="1" applyAlignment="1" applyProtection="1">
      <alignment horizontal="right" vertical="center"/>
      <protection locked="0"/>
    </xf>
    <xf numFmtId="164" fontId="4" fillId="0" borderId="0" xfId="0" applyNumberFormat="1" applyFont="1" applyAlignment="1">
      <alignment horizontal="right" vertical="center"/>
    </xf>
    <xf numFmtId="164" fontId="0" fillId="3" borderId="9" xfId="0" applyNumberFormat="1" applyFill="1" applyBorder="1" applyAlignment="1">
      <alignment horizontal="right" vertical="center"/>
    </xf>
    <xf numFmtId="164" fontId="0" fillId="0" borderId="9" xfId="0" applyNumberFormat="1" applyBorder="1" applyAlignment="1">
      <alignment horizontal="right" vertical="center"/>
    </xf>
    <xf numFmtId="164" fontId="0" fillId="4" borderId="9" xfId="0" applyNumberFormat="1" applyFill="1" applyBorder="1" applyAlignment="1">
      <alignment horizontal="right" vertical="center"/>
    </xf>
    <xf numFmtId="0" fontId="10" fillId="0" borderId="0" xfId="0" applyFont="1" applyAlignment="1">
      <alignment vertical="center"/>
    </xf>
    <xf numFmtId="0" fontId="0" fillId="0" borderId="0" xfId="0" applyAlignment="1" applyProtection="1">
      <alignment horizontal="right" vertical="center"/>
      <protection locked="0"/>
    </xf>
    <xf numFmtId="0" fontId="11" fillId="0" borderId="0" xfId="0" applyFont="1" applyAlignment="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lignment horizontal="right" vertical="center"/>
    </xf>
    <xf numFmtId="0" fontId="0" fillId="2" borderId="9" xfId="0" applyFill="1" applyBorder="1" applyAlignment="1" applyProtection="1">
      <alignment horizontal="right" vertical="center"/>
      <protection locked="0"/>
    </xf>
    <xf numFmtId="0" fontId="1" fillId="0" borderId="0" xfId="0" applyFont="1" applyAlignment="1">
      <alignment horizontal="right" vertical="center"/>
    </xf>
    <xf numFmtId="2" fontId="0" fillId="3" borderId="0" xfId="0" applyNumberFormat="1" applyFill="1" applyAlignment="1">
      <alignment horizontal="right" vertical="center"/>
    </xf>
    <xf numFmtId="0" fontId="5" fillId="0" borderId="0" xfId="0" applyFont="1" applyAlignment="1">
      <alignment vertical="center"/>
    </xf>
    <xf numFmtId="0" fontId="0" fillId="2" borderId="9" xfId="0" applyFill="1" applyBorder="1" applyAlignment="1" applyProtection="1">
      <alignment vertical="center"/>
      <protection locked="0"/>
    </xf>
    <xf numFmtId="0" fontId="0" fillId="0" borderId="0" xfId="0" applyAlignment="1" applyProtection="1">
      <alignment vertical="center"/>
      <protection locked="0"/>
    </xf>
    <xf numFmtId="0" fontId="2" fillId="0" borderId="0" xfId="0" applyFont="1" applyAlignment="1">
      <alignment horizontal="left" vertical="center"/>
    </xf>
    <xf numFmtId="0" fontId="1" fillId="0" borderId="9" xfId="0" applyFont="1" applyBorder="1" applyAlignment="1">
      <alignment vertical="center"/>
    </xf>
    <xf numFmtId="0" fontId="1" fillId="0" borderId="9" xfId="0" quotePrefix="1" applyFont="1" applyBorder="1" applyAlignment="1">
      <alignment horizontal="center" vertical="center"/>
    </xf>
    <xf numFmtId="0" fontId="1" fillId="0" borderId="9" xfId="0" quotePrefix="1" applyFont="1" applyBorder="1" applyAlignment="1">
      <alignment vertical="center"/>
    </xf>
    <xf numFmtId="0" fontId="1" fillId="0" borderId="0" xfId="0" applyFont="1" applyAlignment="1">
      <alignment vertical="center" wrapText="1"/>
    </xf>
    <xf numFmtId="0" fontId="22" fillId="0" borderId="0" xfId="0" applyFont="1" applyAlignment="1">
      <alignment vertical="center"/>
    </xf>
    <xf numFmtId="0" fontId="5" fillId="0" borderId="0" xfId="0" applyFont="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lignment wrapText="1"/>
    </xf>
    <xf numFmtId="0" fontId="2" fillId="0" borderId="1" xfId="0" applyFont="1" applyBorder="1" applyAlignment="1">
      <alignment horizontal="right"/>
    </xf>
    <xf numFmtId="0" fontId="2" fillId="0" borderId="6" xfId="0" applyFont="1" applyBorder="1" applyAlignment="1">
      <alignment horizontal="right"/>
    </xf>
    <xf numFmtId="0" fontId="23" fillId="0" borderId="28" xfId="0" applyFont="1" applyBorder="1" applyAlignment="1">
      <alignment horizontal="right" vertical="center" wrapText="1"/>
    </xf>
    <xf numFmtId="0" fontId="21" fillId="0" borderId="29" xfId="0" applyFont="1" applyBorder="1" applyAlignment="1">
      <alignment horizontal="right" vertical="center" wrapText="1"/>
    </xf>
    <xf numFmtId="0" fontId="23" fillId="0" borderId="23" xfId="0" applyFont="1" applyBorder="1" applyAlignment="1">
      <alignment horizontal="right" vertical="center" wrapText="1"/>
    </xf>
    <xf numFmtId="0" fontId="21" fillId="0" borderId="30" xfId="0" applyFont="1" applyBorder="1" applyAlignment="1">
      <alignment horizontal="right" vertical="center" wrapText="1"/>
    </xf>
    <xf numFmtId="14" fontId="21" fillId="0" borderId="30" xfId="0" applyNumberFormat="1" applyFont="1" applyBorder="1" applyAlignment="1">
      <alignment horizontal="right" vertical="center" wrapText="1"/>
    </xf>
    <xf numFmtId="0" fontId="23" fillId="0" borderId="24" xfId="0" applyFont="1" applyBorder="1" applyAlignment="1">
      <alignment horizontal="right" vertical="center" wrapText="1"/>
    </xf>
    <xf numFmtId="0" fontId="21" fillId="0" borderId="31" xfId="0" applyFont="1" applyBorder="1" applyAlignment="1">
      <alignment horizontal="right" vertical="center" wrapText="1"/>
    </xf>
    <xf numFmtId="0" fontId="0" fillId="0" borderId="25" xfId="0" applyBorder="1" applyAlignment="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166" fontId="0" fillId="0" borderId="0" xfId="0" applyNumberFormat="1" applyProtection="1">
      <protection locked="0"/>
    </xf>
    <xf numFmtId="164" fontId="0" fillId="0" borderId="9" xfId="0" applyNumberFormat="1" applyBorder="1" applyProtection="1">
      <protection locked="0"/>
    </xf>
    <xf numFmtId="0" fontId="0" fillId="0" borderId="6" xfId="0" applyBorder="1" applyProtection="1">
      <protection locked="0"/>
    </xf>
    <xf numFmtId="0" fontId="6" fillId="0" borderId="0" xfId="0" applyFont="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xf numFmtId="0" fontId="0" fillId="0" borderId="15" xfId="0" applyBorder="1"/>
    <xf numFmtId="0" fontId="0" fillId="0" borderId="22" xfId="0" applyBorder="1"/>
    <xf numFmtId="0" fontId="0" fillId="0" borderId="23" xfId="0" applyBorder="1"/>
    <xf numFmtId="0" fontId="0" fillId="0" borderId="24" xfId="0" applyBorder="1"/>
    <xf numFmtId="0" fontId="0" fillId="0" borderId="25" xfId="0" applyBorder="1"/>
    <xf numFmtId="1" fontId="0" fillId="0" borderId="18" xfId="0" applyNumberFormat="1" applyBorder="1" applyProtection="1">
      <protection locked="0"/>
    </xf>
    <xf numFmtId="0" fontId="11" fillId="0" borderId="0" xfId="0" applyFont="1" applyAlignment="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xf numFmtId="164" fontId="1" fillId="2" borderId="9" xfId="0" applyNumberFormat="1" applyFont="1" applyFill="1" applyBorder="1" applyProtection="1">
      <protection locked="0"/>
    </xf>
    <xf numFmtId="0" fontId="20" fillId="0" borderId="34" xfId="0" applyFont="1" applyBorder="1" applyAlignment="1">
      <alignment horizontal="right" vertical="center" wrapText="1"/>
    </xf>
    <xf numFmtId="0" fontId="20" fillId="0" borderId="13" xfId="0" applyFont="1" applyBorder="1" applyAlignment="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lignment vertical="center"/>
    </xf>
    <xf numFmtId="167" fontId="0" fillId="0" borderId="9" xfId="0" applyNumberFormat="1" applyBorder="1" applyAlignment="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lignment horizontal="right" vertical="center"/>
    </xf>
    <xf numFmtId="164" fontId="0" fillId="0" borderId="9" xfId="0" applyNumberFormat="1" applyBorder="1" applyAlignment="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Border="1" applyAlignment="1">
      <alignment horizontal="center" vertical="center"/>
    </xf>
    <xf numFmtId="0" fontId="4" fillId="0" borderId="0" xfId="0" applyFont="1" applyAlignment="1">
      <alignment horizontal="right" vertical="center"/>
    </xf>
    <xf numFmtId="0" fontId="2" fillId="0" borderId="0" xfId="0" applyFont="1" applyAlignment="1">
      <alignment horizontal="right" vertical="center"/>
    </xf>
    <xf numFmtId="0" fontId="0" fillId="0" borderId="0" xfId="0" applyAlignment="1">
      <alignment horizontal="right" vertical="center"/>
    </xf>
    <xf numFmtId="0" fontId="0" fillId="0" borderId="9" xfId="0" applyBorder="1" applyAlignment="1" applyProtection="1">
      <alignment vertical="center"/>
      <protection locked="0"/>
    </xf>
    <xf numFmtId="0" fontId="1" fillId="0" borderId="9" xfId="0" applyFont="1" applyBorder="1" applyAlignment="1">
      <alignment horizontal="right" vertical="center"/>
    </xf>
    <xf numFmtId="167" fontId="1" fillId="0" borderId="9" xfId="0" applyNumberFormat="1" applyFont="1" applyBorder="1" applyAlignment="1">
      <alignment horizontal="right" vertical="center"/>
    </xf>
    <xf numFmtId="0" fontId="0" fillId="6" borderId="9" xfId="0" applyFill="1" applyBorder="1" applyAlignment="1" applyProtection="1">
      <alignment horizontal="center" vertical="center" wrapText="1"/>
      <protection locked="0"/>
    </xf>
    <xf numFmtId="0" fontId="1" fillId="0" borderId="9" xfId="0" applyFont="1" applyBorder="1" applyAlignment="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Alignment="1" applyProtection="1">
      <alignment vertical="center" wrapText="1"/>
      <protection locked="0"/>
    </xf>
    <xf numFmtId="0" fontId="15" fillId="0" borderId="0" xfId="0" applyFont="1" applyAlignment="1" applyProtection="1">
      <alignment horizontal="center" vertical="center" wrapText="1"/>
      <protection locked="0"/>
    </xf>
    <xf numFmtId="0" fontId="15" fillId="0" borderId="0" xfId="0" applyFont="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lignment horizontal="right" vertical="center"/>
    </xf>
    <xf numFmtId="0" fontId="17" fillId="0" borderId="0" xfId="0" applyFont="1" applyAlignment="1">
      <alignment horizontal="right" vertical="center"/>
    </xf>
    <xf numFmtId="0" fontId="21" fillId="0" borderId="0" xfId="0" applyFont="1" applyAlignment="1">
      <alignment horizontal="left" vertical="center"/>
    </xf>
    <xf numFmtId="0" fontId="17" fillId="0" borderId="0" xfId="0" applyFont="1" applyAlignment="1">
      <alignment horizontal="center" vertical="center"/>
    </xf>
    <xf numFmtId="0" fontId="17" fillId="0" borderId="0" xfId="0" applyFont="1" applyAlignment="1">
      <alignment vertical="center"/>
    </xf>
    <xf numFmtId="14" fontId="17" fillId="0" borderId="0" xfId="0" applyNumberFormat="1" applyFont="1" applyAlignment="1">
      <alignment horizontal="right" vertical="center"/>
    </xf>
    <xf numFmtId="0" fontId="18" fillId="0" borderId="0" xfId="0" applyFont="1" applyAlignment="1">
      <alignment horizontal="right" vertical="center" wrapText="1"/>
    </xf>
    <xf numFmtId="166" fontId="17" fillId="0" borderId="0" xfId="0" applyNumberFormat="1" applyFont="1" applyAlignment="1">
      <alignment horizontal="right" vertical="center"/>
    </xf>
    <xf numFmtId="2" fontId="17" fillId="0" borderId="0" xfId="0" applyNumberFormat="1" applyFont="1" applyAlignment="1">
      <alignment horizontal="center" vertical="center"/>
    </xf>
    <xf numFmtId="0" fontId="18" fillId="0" borderId="0" xfId="0" quotePrefix="1" applyFont="1" applyAlignment="1">
      <alignment vertical="center"/>
    </xf>
    <xf numFmtId="0" fontId="18" fillId="0" borderId="0" xfId="0" applyFont="1" applyAlignment="1">
      <alignment vertical="center"/>
    </xf>
    <xf numFmtId="2" fontId="17" fillId="0" borderId="0" xfId="0" applyNumberFormat="1" applyFont="1" applyAlignment="1">
      <alignment horizontal="right" vertical="center"/>
    </xf>
    <xf numFmtId="2" fontId="18" fillId="0" borderId="0" xfId="0" applyNumberFormat="1" applyFont="1" applyAlignment="1">
      <alignment horizontal="right" vertical="center"/>
    </xf>
    <xf numFmtId="0" fontId="18" fillId="0" borderId="9" xfId="0" applyFont="1" applyBorder="1" applyAlignment="1">
      <alignment vertical="center"/>
    </xf>
    <xf numFmtId="2" fontId="17" fillId="0" borderId="9" xfId="0" applyNumberFormat="1" applyFont="1" applyBorder="1" applyAlignment="1">
      <alignment vertical="center"/>
    </xf>
    <xf numFmtId="164" fontId="17" fillId="0" borderId="9" xfId="0" applyNumberFormat="1" applyFont="1" applyBorder="1" applyAlignment="1">
      <alignment vertical="center"/>
    </xf>
    <xf numFmtId="0" fontId="16" fillId="0" borderId="25" xfId="0" applyFont="1" applyBorder="1" applyAlignment="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164" fontId="17" fillId="0" borderId="0" xfId="0" applyNumberFormat="1" applyFont="1" applyAlignment="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Border="1" applyAlignment="1" applyProtection="1">
      <alignment vertical="center"/>
      <protection locked="0"/>
    </xf>
    <xf numFmtId="0" fontId="19" fillId="0" borderId="25" xfId="0" applyFont="1" applyBorder="1" applyAlignment="1" applyProtection="1">
      <alignment horizontal="center" vertical="center" wrapText="1"/>
      <protection locked="0"/>
    </xf>
    <xf numFmtId="0" fontId="20" fillId="0" borderId="25"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1" fillId="0" borderId="0" xfId="0" applyFont="1"/>
    <xf numFmtId="0" fontId="0" fillId="0" borderId="38" xfId="0" applyBorder="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Alignment="1" applyProtection="1">
      <alignment horizontal="center" vertical="center"/>
      <protection locked="0"/>
    </xf>
    <xf numFmtId="0" fontId="2" fillId="0" borderId="0" xfId="0" applyFont="1" applyProtection="1">
      <protection locked="0"/>
    </xf>
    <xf numFmtId="0" fontId="2" fillId="0" borderId="0" xfId="0" applyFont="1" applyAlignment="1" applyProtection="1">
      <alignment vertical="center"/>
      <protection locked="0"/>
    </xf>
    <xf numFmtId="0" fontId="5" fillId="0" borderId="28" xfId="0" applyFont="1" applyBorder="1" applyAlignment="1">
      <alignment horizontal="center" vertical="center"/>
    </xf>
    <xf numFmtId="0" fontId="5" fillId="0" borderId="40" xfId="0" applyFont="1" applyBorder="1" applyAlignment="1">
      <alignment horizontal="center" vertical="center"/>
    </xf>
    <xf numFmtId="0" fontId="5" fillId="0" borderId="29" xfId="0" applyFont="1" applyBorder="1" applyAlignment="1">
      <alignment horizontal="center" vertical="center"/>
    </xf>
    <xf numFmtId="0" fontId="21" fillId="0" borderId="23" xfId="0" applyFont="1" applyBorder="1" applyAlignment="1">
      <alignment horizontal="center" vertical="center"/>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24" xfId="0" applyFont="1" applyBorder="1" applyAlignment="1">
      <alignment horizontal="center" vertical="center"/>
    </xf>
    <xf numFmtId="0" fontId="21" fillId="0" borderId="20" xfId="0" applyFont="1" applyBorder="1" applyAlignment="1">
      <alignment horizontal="left" vertical="center"/>
    </xf>
    <xf numFmtId="0" fontId="21" fillId="0" borderId="20" xfId="0" applyFont="1" applyBorder="1" applyAlignment="1">
      <alignment horizontal="center" vertical="center"/>
    </xf>
    <xf numFmtId="0" fontId="21" fillId="0" borderId="31" xfId="0" applyFont="1" applyBorder="1" applyAlignment="1">
      <alignment horizontal="center" vertical="center"/>
    </xf>
    <xf numFmtId="0" fontId="0" fillId="0" borderId="9" xfId="0" applyBorder="1" applyAlignment="1">
      <alignment horizontal="center" vertical="center"/>
    </xf>
    <xf numFmtId="0" fontId="21" fillId="0" borderId="9" xfId="0" applyFont="1" applyBorder="1" applyAlignment="1">
      <alignment horizontal="left" vertical="center" wrapText="1"/>
    </xf>
    <xf numFmtId="0" fontId="23" fillId="0" borderId="0" xfId="0" applyFont="1" applyAlignment="1">
      <alignment horizontal="right" vertical="center" wrapText="1"/>
    </xf>
    <xf numFmtId="0" fontId="21" fillId="0" borderId="0" xfId="0" applyFont="1" applyAlignment="1">
      <alignment horizontal="right" vertical="center" wrapText="1"/>
    </xf>
    <xf numFmtId="0" fontId="26" fillId="0" borderId="0" xfId="0" applyFont="1" applyAlignment="1">
      <alignment horizontal="center"/>
    </xf>
    <xf numFmtId="164" fontId="4" fillId="2" borderId="9" xfId="0" applyNumberFormat="1" applyFont="1" applyFill="1" applyBorder="1"/>
    <xf numFmtId="166" fontId="2" fillId="0" borderId="9" xfId="0" applyNumberFormat="1" applyFont="1" applyBorder="1"/>
    <xf numFmtId="166" fontId="0" fillId="0" borderId="9" xfId="0" applyNumberFormat="1" applyBorder="1"/>
    <xf numFmtId="0" fontId="28" fillId="0" borderId="0" xfId="0" applyFont="1" applyProtection="1">
      <protection hidden="1"/>
    </xf>
    <xf numFmtId="0" fontId="1" fillId="0" borderId="0" xfId="0" applyFont="1" applyAlignment="1">
      <alignment horizontal="left"/>
    </xf>
    <xf numFmtId="2" fontId="1" fillId="0" borderId="0" xfId="0" quotePrefix="1" applyNumberFormat="1" applyFont="1" applyAlignment="1">
      <alignment horizontal="center" vertical="center"/>
    </xf>
    <xf numFmtId="0" fontId="31" fillId="0" borderId="0" xfId="0" applyFont="1"/>
    <xf numFmtId="0" fontId="2" fillId="0" borderId="0" xfId="0" applyFont="1" applyAlignment="1">
      <alignment horizontal="center" vertical="center" wrapText="1"/>
    </xf>
    <xf numFmtId="0" fontId="28" fillId="0" borderId="0" xfId="0" applyFont="1"/>
    <xf numFmtId="2" fontId="28" fillId="0" borderId="0" xfId="0" applyNumberFormat="1" applyFont="1"/>
    <xf numFmtId="14" fontId="21" fillId="0" borderId="30" xfId="0" applyNumberFormat="1" applyFont="1" applyBorder="1" applyAlignment="1">
      <alignment horizontal="center" vertical="center"/>
    </xf>
    <xf numFmtId="0" fontId="9" fillId="0" borderId="0" xfId="0" applyFont="1"/>
    <xf numFmtId="0" fontId="34" fillId="0" borderId="0" xfId="0" applyFont="1" applyAlignment="1">
      <alignment vertical="center"/>
    </xf>
    <xf numFmtId="0" fontId="32" fillId="10" borderId="3" xfId="0" applyFont="1" applyFill="1" applyBorder="1"/>
    <xf numFmtId="0" fontId="1" fillId="0" borderId="0" xfId="0" applyFont="1" applyAlignment="1">
      <alignment horizontal="left" vertical="center"/>
    </xf>
    <xf numFmtId="0" fontId="32" fillId="9" borderId="56" xfId="0" applyFont="1" applyFill="1" applyBorder="1" applyAlignment="1">
      <alignment vertical="center"/>
    </xf>
    <xf numFmtId="0" fontId="2" fillId="0" borderId="45" xfId="0" applyFont="1" applyBorder="1" applyAlignment="1">
      <alignment horizontal="center"/>
    </xf>
    <xf numFmtId="0" fontId="1" fillId="0" borderId="10"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167" fontId="21" fillId="0" borderId="10" xfId="0" applyNumberFormat="1" applyFont="1" applyBorder="1" applyAlignment="1">
      <alignment vertical="center"/>
    </xf>
    <xf numFmtId="0" fontId="21" fillId="0" borderId="10" xfId="0" applyFont="1" applyBorder="1" applyAlignment="1" applyProtection="1">
      <alignment vertical="center"/>
      <protection locked="0"/>
    </xf>
    <xf numFmtId="0" fontId="23" fillId="0" borderId="9" xfId="0" applyFont="1" applyBorder="1" applyAlignment="1">
      <alignment vertical="center"/>
    </xf>
    <xf numFmtId="0" fontId="21" fillId="0" borderId="9" xfId="0" applyFont="1" applyBorder="1" applyAlignment="1">
      <alignment vertical="center"/>
    </xf>
    <xf numFmtId="0" fontId="21" fillId="0" borderId="9" xfId="0" applyFont="1" applyBorder="1" applyAlignment="1" applyProtection="1">
      <alignment vertical="center"/>
      <protection locked="0"/>
    </xf>
    <xf numFmtId="0" fontId="23" fillId="0" borderId="0" xfId="0" applyFont="1" applyAlignment="1">
      <alignment vertical="center"/>
    </xf>
    <xf numFmtId="0" fontId="21" fillId="0" borderId="0" xfId="0" applyFont="1" applyAlignment="1">
      <alignment vertical="center"/>
    </xf>
    <xf numFmtId="167" fontId="21" fillId="0" borderId="0" xfId="0" applyNumberFormat="1" applyFont="1" applyAlignment="1">
      <alignment vertical="center"/>
    </xf>
    <xf numFmtId="0" fontId="21" fillId="0" borderId="0" xfId="0" applyFont="1" applyAlignment="1" applyProtection="1">
      <alignment vertical="center"/>
      <protection locked="0"/>
    </xf>
    <xf numFmtId="2" fontId="1" fillId="0" borderId="9" xfId="0" quotePrefix="1" applyNumberFormat="1" applyFont="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lignment vertical="center"/>
    </xf>
    <xf numFmtId="167" fontId="0" fillId="0" borderId="17" xfId="0" applyNumberFormat="1" applyBorder="1" applyAlignment="1">
      <alignment horizontal="center" vertical="center"/>
    </xf>
    <xf numFmtId="0" fontId="1" fillId="0" borderId="17" xfId="0" applyFont="1" applyBorder="1" applyAlignment="1">
      <alignment vertical="center"/>
    </xf>
    <xf numFmtId="0" fontId="0" fillId="0" borderId="17" xfId="0" applyBorder="1" applyAlignment="1">
      <alignment horizontal="center" vertical="center"/>
    </xf>
    <xf numFmtId="0" fontId="2" fillId="0" borderId="20" xfId="0" applyFont="1" applyBorder="1" applyAlignment="1">
      <alignment horizontal="center" vertical="center"/>
    </xf>
    <xf numFmtId="0" fontId="2" fillId="0" borderId="20" xfId="0" applyFont="1" applyBorder="1" applyAlignment="1">
      <alignment horizontal="center" vertical="center" wrapText="1"/>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lignment vertical="center"/>
    </xf>
    <xf numFmtId="0" fontId="23" fillId="0" borderId="20" xfId="0" applyFont="1" applyBorder="1" applyAlignment="1">
      <alignment horizontal="center" vertical="center"/>
    </xf>
    <xf numFmtId="0" fontId="34" fillId="0" borderId="0" xfId="0" applyFont="1" applyAlignment="1" applyProtection="1">
      <alignment vertical="center"/>
      <protection hidden="1"/>
    </xf>
    <xf numFmtId="167" fontId="2" fillId="5" borderId="9" xfId="0" applyNumberFormat="1" applyFont="1" applyFill="1" applyBorder="1" applyAlignment="1">
      <alignment horizontal="center" vertical="center"/>
    </xf>
    <xf numFmtId="0" fontId="1" fillId="0" borderId="16" xfId="0" applyFont="1" applyBorder="1" applyAlignment="1">
      <alignment vertical="center"/>
    </xf>
    <xf numFmtId="0" fontId="0" fillId="0" borderId="16" xfId="0" applyBorder="1" applyAlignment="1">
      <alignment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Border="1" applyAlignment="1">
      <alignment horizontal="center" vertical="center"/>
    </xf>
    <xf numFmtId="2" fontId="0" fillId="0" borderId="0" xfId="0" applyNumberFormat="1" applyAlignment="1">
      <alignment vertical="center"/>
    </xf>
    <xf numFmtId="14" fontId="29" fillId="0" borderId="0" xfId="0" applyNumberFormat="1" applyFont="1"/>
    <xf numFmtId="0" fontId="1" fillId="0" borderId="10" xfId="0" applyFont="1" applyBorder="1" applyAlignment="1">
      <alignment horizontal="center" vertical="center"/>
    </xf>
    <xf numFmtId="0" fontId="2" fillId="0" borderId="53" xfId="0" applyFont="1" applyBorder="1"/>
    <xf numFmtId="0" fontId="0" fillId="0" borderId="58" xfId="0" applyBorder="1"/>
    <xf numFmtId="0" fontId="0" fillId="0" borderId="54" xfId="0" applyBorder="1"/>
    <xf numFmtId="0" fontId="1" fillId="0" borderId="9" xfId="0" applyFont="1" applyBorder="1"/>
    <xf numFmtId="0" fontId="1" fillId="0" borderId="20" xfId="0" applyFont="1" applyBorder="1"/>
    <xf numFmtId="0" fontId="1" fillId="0" borderId="10" xfId="0" applyFont="1" applyBorder="1"/>
    <xf numFmtId="0" fontId="0" fillId="0" borderId="13" xfId="0" applyBorder="1"/>
    <xf numFmtId="0" fontId="9" fillId="0" borderId="37" xfId="0" applyFont="1" applyBorder="1" applyAlignment="1">
      <alignment vertical="top" wrapText="1"/>
    </xf>
    <xf numFmtId="0" fontId="0" fillId="0" borderId="18" xfId="0"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lignment vertical="center"/>
    </xf>
    <xf numFmtId="167" fontId="11" fillId="0" borderId="61" xfId="0" applyNumberFormat="1" applyFont="1" applyBorder="1" applyAlignment="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lignment horizontal="left" vertical="center" wrapText="1"/>
    </xf>
    <xf numFmtId="0" fontId="0" fillId="0" borderId="0" xfId="0" applyAlignment="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2" borderId="18" xfId="0" applyFill="1" applyBorder="1" applyProtection="1">
      <protection hidden="1"/>
    </xf>
    <xf numFmtId="0" fontId="1" fillId="0" borderId="9" xfId="0" applyFont="1" applyBorder="1" applyAlignment="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167" fontId="1" fillId="0" borderId="16" xfId="0" applyNumberFormat="1" applyFont="1" applyBorder="1" applyAlignment="1">
      <alignment horizontal="center" vertical="center"/>
    </xf>
    <xf numFmtId="0" fontId="32" fillId="0" borderId="8" xfId="0" applyFont="1" applyBorder="1"/>
    <xf numFmtId="0" fontId="0" fillId="10" borderId="44" xfId="0" applyFill="1" applyBorder="1"/>
    <xf numFmtId="0" fontId="0" fillId="10" borderId="49" xfId="0" applyFill="1" applyBorder="1"/>
    <xf numFmtId="0" fontId="1" fillId="0" borderId="51" xfId="0" applyFont="1" applyBorder="1" applyAlignment="1">
      <alignment horizontal="left"/>
    </xf>
    <xf numFmtId="0" fontId="1" fillId="0" borderId="51" xfId="0" applyFont="1" applyBorder="1" applyAlignment="1">
      <alignment vertical="center"/>
    </xf>
    <xf numFmtId="0" fontId="1" fillId="0" borderId="42" xfId="0" applyFont="1" applyBorder="1" applyAlignment="1">
      <alignment vertical="center"/>
    </xf>
    <xf numFmtId="0" fontId="30" fillId="0" borderId="55" xfId="0" applyFont="1" applyBorder="1" applyAlignment="1">
      <alignment vertical="center"/>
    </xf>
    <xf numFmtId="0" fontId="2" fillId="0" borderId="18" xfId="0" applyFont="1" applyBorder="1" applyAlignment="1">
      <alignment vertical="center" textRotation="90"/>
    </xf>
    <xf numFmtId="0" fontId="32" fillId="10" borderId="68" xfId="0" applyFont="1" applyFill="1" applyBorder="1" applyAlignment="1">
      <alignment vertical="center"/>
    </xf>
    <xf numFmtId="0" fontId="32" fillId="0" borderId="69" xfId="0" applyFont="1" applyBorder="1"/>
    <xf numFmtId="164" fontId="0" fillId="0" borderId="0" xfId="0" applyNumberFormat="1" applyAlignment="1">
      <alignment vertical="top" wrapText="1"/>
    </xf>
    <xf numFmtId="0" fontId="1" fillId="0" borderId="2" xfId="0" applyFont="1" applyBorder="1" applyAlignment="1">
      <alignment wrapText="1"/>
    </xf>
    <xf numFmtId="0" fontId="1" fillId="2" borderId="21" xfId="0" applyFont="1" applyFill="1" applyBorder="1" applyProtection="1">
      <protection locked="0"/>
    </xf>
    <xf numFmtId="1" fontId="0" fillId="0" borderId="18" xfId="0" applyNumberFormat="1" applyBorder="1" applyProtection="1">
      <protection hidden="1"/>
    </xf>
    <xf numFmtId="0" fontId="0" fillId="6" borderId="9" xfId="0" applyFill="1" applyBorder="1" applyAlignment="1" applyProtection="1">
      <alignment horizontal="center" vertical="center"/>
      <protection locked="0"/>
    </xf>
    <xf numFmtId="0" fontId="34" fillId="0" borderId="0" xfId="0" applyFont="1" applyAlignment="1" applyProtection="1">
      <alignment vertical="center" wrapText="1"/>
      <protection hidden="1"/>
    </xf>
    <xf numFmtId="0" fontId="1" fillId="0" borderId="36" xfId="0" applyFont="1" applyBorder="1" applyAlignment="1">
      <alignment horizontal="center" vertical="center"/>
    </xf>
    <xf numFmtId="2" fontId="1" fillId="8" borderId="16" xfId="0" quotePrefix="1" applyNumberFormat="1" applyFont="1" applyFill="1" applyBorder="1" applyAlignment="1">
      <alignment horizontal="center" vertical="center"/>
    </xf>
    <xf numFmtId="2" fontId="1" fillId="0" borderId="10" xfId="0" quotePrefix="1" applyNumberFormat="1" applyFont="1" applyBorder="1" applyAlignment="1">
      <alignment horizontal="center" vertical="center" wrapText="1"/>
    </xf>
    <xf numFmtId="0" fontId="21" fillId="0" borderId="9" xfId="0" applyFont="1" applyBorder="1" applyAlignment="1">
      <alignment horizontal="left" vertical="center"/>
    </xf>
    <xf numFmtId="0" fontId="0" fillId="0" borderId="67" xfId="0" applyBorder="1" applyAlignment="1">
      <alignment horizontal="center" vertical="center"/>
    </xf>
    <xf numFmtId="0" fontId="0" fillId="0" borderId="19" xfId="0" applyBorder="1" applyAlignment="1">
      <alignment horizontal="center" vertical="center"/>
    </xf>
    <xf numFmtId="0" fontId="2" fillId="0" borderId="0" xfId="0" applyFont="1" applyAlignment="1">
      <alignment horizontal="left" vertical="center"/>
    </xf>
    <xf numFmtId="0" fontId="2" fillId="0" borderId="13" xfId="0" applyFont="1" applyBorder="1" applyAlignment="1">
      <alignment horizontal="left" vertical="center"/>
    </xf>
    <xf numFmtId="0" fontId="0" fillId="0" borderId="0" xfId="0" applyAlignment="1">
      <alignment horizontal="left" vertical="center"/>
    </xf>
    <xf numFmtId="0" fontId="2" fillId="0" borderId="0" xfId="0" applyFont="1" applyAlignment="1">
      <alignment horizontal="right" vertical="center"/>
    </xf>
    <xf numFmtId="0" fontId="2" fillId="0" borderId="13" xfId="0" applyFont="1" applyBorder="1" applyAlignment="1">
      <alignment horizontal="right" vertical="center"/>
    </xf>
    <xf numFmtId="0" fontId="2" fillId="0" borderId="0" xfId="0" applyFont="1" applyAlignment="1">
      <alignment horizontal="right" vertical="center" wrapText="1"/>
    </xf>
    <xf numFmtId="0" fontId="2" fillId="0" borderId="13" xfId="0" applyFont="1" applyBorder="1" applyAlignment="1">
      <alignment horizontal="right" vertical="center" wrapText="1"/>
    </xf>
    <xf numFmtId="0" fontId="1" fillId="6" borderId="9" xfId="0" applyFont="1" applyFill="1" applyBorder="1" applyAlignment="1" applyProtection="1">
      <alignment horizontal="center" vertical="center"/>
      <protection locked="0"/>
    </xf>
    <xf numFmtId="0" fontId="0" fillId="6" borderId="9" xfId="0" applyFill="1" applyBorder="1" applyAlignment="1" applyProtection="1">
      <alignment horizontal="center" vertical="center"/>
      <protection locked="0"/>
    </xf>
    <xf numFmtId="0" fontId="1" fillId="0" borderId="0" xfId="0" applyFont="1" applyAlignment="1">
      <alignment horizontal="left" vertical="center" wrapText="1"/>
    </xf>
    <xf numFmtId="0" fontId="2" fillId="0" borderId="0" xfId="0" applyFont="1" applyAlignment="1">
      <alignment horizontal="left" vertical="center" wrapText="1"/>
    </xf>
    <xf numFmtId="0" fontId="2" fillId="0" borderId="13" xfId="0" applyFont="1" applyBorder="1" applyAlignment="1">
      <alignment horizontal="left" vertical="center" wrapText="1"/>
    </xf>
    <xf numFmtId="0" fontId="1" fillId="0" borderId="27" xfId="0" applyFont="1" applyBorder="1" applyAlignment="1">
      <alignment horizontal="center" vertical="center"/>
    </xf>
    <xf numFmtId="0" fontId="2" fillId="6" borderId="41" xfId="0" applyFont="1" applyFill="1" applyBorder="1" applyAlignment="1">
      <alignment horizontal="center" vertical="center" wrapText="1"/>
    </xf>
    <xf numFmtId="0" fontId="2" fillId="6" borderId="70" xfId="0" applyFont="1" applyFill="1" applyBorder="1" applyAlignment="1">
      <alignment horizontal="center" vertical="center" wrapText="1"/>
    </xf>
    <xf numFmtId="0" fontId="2" fillId="6" borderId="43" xfId="0" applyFont="1" applyFill="1" applyBorder="1" applyAlignment="1">
      <alignment horizontal="center" vertical="center" wrapText="1"/>
    </xf>
    <xf numFmtId="0" fontId="2" fillId="6" borderId="71" xfId="0" applyFont="1" applyFill="1" applyBorder="1" applyAlignment="1">
      <alignment horizontal="center" vertical="center" wrapText="1"/>
    </xf>
    <xf numFmtId="0" fontId="0" fillId="0" borderId="0" xfId="0" applyAlignment="1">
      <alignment horizontal="right" vertical="center"/>
    </xf>
    <xf numFmtId="0" fontId="1" fillId="0" borderId="9" xfId="0" applyFont="1" applyBorder="1" applyAlignment="1">
      <alignment horizontal="center" vertical="center"/>
    </xf>
    <xf numFmtId="0" fontId="2" fillId="0" borderId="17" xfId="0" applyFont="1" applyBorder="1" applyAlignment="1">
      <alignment horizontal="right" vertical="center"/>
    </xf>
    <xf numFmtId="0" fontId="2" fillId="0" borderId="1" xfId="0" applyFont="1" applyBorder="1" applyAlignment="1">
      <alignment horizontal="center" vertical="center" textRotation="90" wrapText="1"/>
    </xf>
    <xf numFmtId="0" fontId="2" fillId="0" borderId="4" xfId="0" applyFont="1" applyBorder="1" applyAlignment="1">
      <alignment horizontal="center" vertical="center" textRotation="90" wrapText="1"/>
    </xf>
    <xf numFmtId="0" fontId="1" fillId="0" borderId="0" xfId="0" applyFont="1" applyAlignment="1">
      <alignment horizontal="right" vertical="center"/>
    </xf>
    <xf numFmtId="0" fontId="5" fillId="0" borderId="0" xfId="0" applyFont="1" applyAlignment="1">
      <alignment horizontal="left" vertical="center"/>
    </xf>
    <xf numFmtId="0" fontId="1" fillId="0" borderId="0" xfId="0" applyFont="1" applyAlignment="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Alignment="1" applyProtection="1">
      <alignment horizontal="center" vertical="center" wrapText="1"/>
      <protection hidden="1"/>
    </xf>
    <xf numFmtId="0" fontId="2" fillId="9" borderId="46" xfId="0" applyFont="1" applyFill="1" applyBorder="1" applyAlignment="1">
      <alignment horizontal="center" vertical="center"/>
    </xf>
    <xf numFmtId="0" fontId="2" fillId="9" borderId="47" xfId="0" applyFont="1" applyFill="1" applyBorder="1" applyAlignment="1">
      <alignment horizontal="center" vertical="center"/>
    </xf>
    <xf numFmtId="0" fontId="2" fillId="9" borderId="48" xfId="0" applyFont="1" applyFill="1" applyBorder="1" applyAlignment="1">
      <alignment horizontal="center" vertical="center"/>
    </xf>
    <xf numFmtId="0" fontId="0" fillId="0" borderId="52" xfId="0" applyBorder="1" applyAlignment="1">
      <alignment horizontal="center" vertical="center"/>
    </xf>
    <xf numFmtId="0" fontId="0" fillId="0" borderId="57" xfId="0" applyBorder="1" applyAlignment="1">
      <alignment horizontal="center" vertical="center"/>
    </xf>
    <xf numFmtId="0" fontId="5" fillId="0" borderId="18"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19" xfId="0" applyFont="1" applyBorder="1" applyAlignment="1">
      <alignment horizontal="center" vertical="center" textRotation="90"/>
    </xf>
    <xf numFmtId="0" fontId="2" fillId="0" borderId="2" xfId="0" applyFont="1" applyBorder="1" applyAlignment="1">
      <alignment horizontal="center" vertical="center"/>
    </xf>
    <xf numFmtId="0" fontId="2" fillId="0" borderId="34" xfId="0" applyFont="1" applyBorder="1" applyAlignment="1">
      <alignment horizontal="center" vertical="center"/>
    </xf>
    <xf numFmtId="0" fontId="20" fillId="0" borderId="6" xfId="0" applyFont="1" applyBorder="1" applyAlignment="1" applyProtection="1">
      <alignment horizontal="center" vertical="center" wrapText="1"/>
      <protection locked="0"/>
    </xf>
    <xf numFmtId="0" fontId="20" fillId="0" borderId="35" xfId="0" applyFont="1" applyBorder="1" applyAlignment="1" applyProtection="1">
      <alignment horizontal="center" vertical="center" wrapText="1"/>
      <protection locked="0"/>
    </xf>
    <xf numFmtId="0" fontId="2" fillId="0" borderId="9" xfId="0" applyFont="1" applyBorder="1" applyAlignment="1">
      <alignment horizontal="center" vertical="center"/>
    </xf>
    <xf numFmtId="0" fontId="2" fillId="0" borderId="9" xfId="0" applyFont="1" applyBorder="1" applyAlignment="1">
      <alignment horizontal="center" vertical="center" wrapText="1"/>
    </xf>
    <xf numFmtId="0" fontId="2" fillId="0" borderId="20" xfId="0" applyFont="1" applyBorder="1" applyAlignment="1">
      <alignment horizontal="center" vertical="center"/>
    </xf>
    <xf numFmtId="0" fontId="0" fillId="0" borderId="9" xfId="0" applyBorder="1" applyAlignment="1">
      <alignment horizontal="center" vertical="center"/>
    </xf>
    <xf numFmtId="0" fontId="0" fillId="0" borderId="20" xfId="0" applyBorder="1" applyAlignment="1">
      <alignment horizontal="center" vertical="center"/>
    </xf>
    <xf numFmtId="0" fontId="21" fillId="0" borderId="9" xfId="0" applyFont="1" applyBorder="1" applyAlignment="1">
      <alignment horizontal="center" vertical="center"/>
    </xf>
    <xf numFmtId="0" fontId="21" fillId="0" borderId="20" xfId="0" applyFont="1" applyBorder="1" applyAlignment="1">
      <alignment horizontal="center" vertical="center"/>
    </xf>
    <xf numFmtId="0" fontId="23" fillId="0" borderId="9" xfId="0" applyFont="1" applyBorder="1" applyAlignment="1">
      <alignment horizontal="center" vertical="center"/>
    </xf>
    <xf numFmtId="0" fontId="23" fillId="0" borderId="20" xfId="0" applyFont="1" applyBorder="1" applyAlignment="1">
      <alignment horizontal="center"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1" fillId="0" borderId="0" xfId="0" applyFont="1" applyAlignment="1">
      <alignment vertical="top" wrapText="1" shrinkToFit="1"/>
    </xf>
    <xf numFmtId="0" fontId="0" fillId="0" borderId="0" xfId="0" applyAlignment="1">
      <alignment wrapText="1"/>
    </xf>
    <xf numFmtId="0" fontId="27" fillId="0" borderId="0" xfId="0" applyFont="1" applyAlignment="1">
      <alignment horizontal="center" vertical="center"/>
    </xf>
    <xf numFmtId="0" fontId="27" fillId="0" borderId="5" xfId="0" applyFont="1" applyBorder="1" applyAlignment="1">
      <alignment horizontal="center" vertical="center"/>
    </xf>
    <xf numFmtId="0" fontId="2" fillId="0" borderId="0" xfId="0" applyFont="1" applyAlignment="1">
      <alignment horizontal="center"/>
    </xf>
    <xf numFmtId="0" fontId="0" fillId="0" borderId="0" xfId="0" applyAlignment="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lignment horizontal="center"/>
    </xf>
    <xf numFmtId="0" fontId="0" fillId="0" borderId="0" xfId="0" applyAlignment="1">
      <alignment wrapText="1" shrinkToFit="1"/>
    </xf>
    <xf numFmtId="0" fontId="2" fillId="0" borderId="2" xfId="0" applyFont="1" applyBorder="1" applyAlignment="1">
      <alignment horizontal="left"/>
    </xf>
    <xf numFmtId="0" fontId="2" fillId="0" borderId="3" xfId="0" applyFont="1" applyBorder="1" applyAlignment="1">
      <alignment horizontal="left"/>
    </xf>
    <xf numFmtId="166" fontId="0" fillId="0" borderId="0" xfId="0" applyNumberFormat="1" applyAlignment="1">
      <alignment horizontal="left"/>
    </xf>
    <xf numFmtId="166" fontId="0" fillId="0" borderId="5" xfId="0" applyNumberFormat="1" applyBorder="1" applyAlignment="1">
      <alignment horizontal="left"/>
    </xf>
    <xf numFmtId="0" fontId="0" fillId="0" borderId="0" xfId="0" applyAlignment="1">
      <alignment horizontal="left"/>
    </xf>
    <xf numFmtId="0" fontId="0" fillId="0" borderId="5" xfId="0" applyBorder="1" applyAlignment="1">
      <alignment horizontal="left"/>
    </xf>
    <xf numFmtId="0" fontId="0" fillId="0" borderId="7" xfId="0" applyBorder="1" applyAlignment="1">
      <alignment horizontal="left"/>
    </xf>
    <xf numFmtId="0" fontId="0" fillId="0" borderId="8" xfId="0" applyBorder="1" applyAlignment="1">
      <alignment horizontal="left"/>
    </xf>
    <xf numFmtId="2" fontId="22" fillId="0" borderId="53" xfId="0" applyNumberFormat="1" applyFont="1" applyBorder="1" applyAlignment="1">
      <alignment horizontal="center" vertical="center"/>
    </xf>
    <xf numFmtId="2" fontId="22" fillId="0" borderId="58" xfId="0" applyNumberFormat="1" applyFont="1" applyBorder="1" applyAlignment="1">
      <alignment horizontal="center" vertical="center"/>
    </xf>
    <xf numFmtId="2" fontId="22" fillId="0" borderId="54" xfId="0" applyNumberFormat="1" applyFont="1" applyBorder="1" applyAlignment="1">
      <alignment horizontal="center" vertical="center"/>
    </xf>
    <xf numFmtId="164" fontId="35" fillId="11" borderId="72" xfId="0" applyNumberFormat="1" applyFont="1" applyFill="1" applyBorder="1" applyAlignment="1">
      <alignment horizontal="right" vertical="center"/>
    </xf>
    <xf numFmtId="14" fontId="0" fillId="0" borderId="0" xfId="0" applyNumberFormat="1"/>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checked="Checked"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1021080</xdr:colOff>
          <xdr:row>22</xdr:row>
          <xdr:rowOff>76200</xdr:rowOff>
        </xdr:from>
        <xdr:to>
          <xdr:col>3</xdr:col>
          <xdr:colOff>1234440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1021080</xdr:colOff>
          <xdr:row>23</xdr:row>
          <xdr:rowOff>76200</xdr:rowOff>
        </xdr:from>
        <xdr:to>
          <xdr:col>3</xdr:col>
          <xdr:colOff>1234440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1013460</xdr:colOff>
          <xdr:row>24</xdr:row>
          <xdr:rowOff>99060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1013460</xdr:colOff>
          <xdr:row>28</xdr:row>
          <xdr:rowOff>22860</xdr:rowOff>
        </xdr:from>
        <xdr:to>
          <xdr:col>3</xdr:col>
          <xdr:colOff>1219200</xdr:colOff>
          <xdr:row>29</xdr:row>
          <xdr:rowOff>53340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60960</xdr:rowOff>
        </xdr:from>
        <xdr:to>
          <xdr:col>3</xdr:col>
          <xdr:colOff>571500</xdr:colOff>
          <xdr:row>28</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1280160</xdr:colOff>
          <xdr:row>27</xdr:row>
          <xdr:rowOff>60960</xdr:rowOff>
        </xdr:from>
        <xdr:to>
          <xdr:col>3</xdr:col>
          <xdr:colOff>1581150</xdr:colOff>
          <xdr:row>28</xdr:row>
          <xdr:rowOff>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25</xdr:row>
          <xdr:rowOff>60960</xdr:rowOff>
        </xdr:from>
        <xdr:to>
          <xdr:col>3</xdr:col>
          <xdr:colOff>1958340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2460384</xdr:colOff>
      <xdr:row>3</xdr:row>
      <xdr:rowOff>95564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2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2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2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a:extLst>
            <a:ext uri="{FF2B5EF4-FFF2-40B4-BE49-F238E27FC236}">
              <a16:creationId xmlns:a16="http://schemas.microsoft.com/office/drawing/2014/main" id="{00000000-0008-0000-0200-000002000000}"/>
            </a:ext>
          </a:extLst>
        </xdr:cNvPr>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2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2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a:extLst>
            <a:ext uri="{FF2B5EF4-FFF2-40B4-BE49-F238E27FC236}">
              <a16:creationId xmlns:a16="http://schemas.microsoft.com/office/drawing/2014/main" id="{00000000-0008-0000-02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2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2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2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2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2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2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2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2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2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2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2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2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2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2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a:extLst>
            <a:ext uri="{FF2B5EF4-FFF2-40B4-BE49-F238E27FC236}">
              <a16:creationId xmlns:a16="http://schemas.microsoft.com/office/drawing/2014/main" id="{00000000-0008-0000-0200-000034000000}"/>
            </a:ext>
          </a:extLst>
        </xdr:cNvPr>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28</xdr:row>
      <xdr:rowOff>151086</xdr:rowOff>
    </xdr:from>
    <xdr:to>
      <xdr:col>6</xdr:col>
      <xdr:colOff>157655</xdr:colOff>
      <xdr:row>31</xdr:row>
      <xdr:rowOff>6569</xdr:rowOff>
    </xdr:to>
    <xdr:sp macro="" textlink="" fLocksText="0">
      <xdr:nvSpPr>
        <xdr:cNvPr id="53" name="Trapezoid 52">
          <a:extLst>
            <a:ext uri="{FF2B5EF4-FFF2-40B4-BE49-F238E27FC236}">
              <a16:creationId xmlns:a16="http://schemas.microsoft.com/office/drawing/2014/main" id="{00000000-0008-0000-0200-000035000000}"/>
            </a:ext>
          </a:extLst>
        </xdr:cNvPr>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a:extLst>
            <a:ext uri="{FF2B5EF4-FFF2-40B4-BE49-F238E27FC236}">
              <a16:creationId xmlns:a16="http://schemas.microsoft.com/office/drawing/2014/main" id="{00000000-0008-0000-0200-000036000000}"/>
            </a:ext>
          </a:extLst>
        </xdr:cNvPr>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a:extLst>
            <a:ext uri="{FF2B5EF4-FFF2-40B4-BE49-F238E27FC236}">
              <a16:creationId xmlns:a16="http://schemas.microsoft.com/office/drawing/2014/main" id="{00000000-0008-0000-0200-000037000000}"/>
            </a:ext>
          </a:extLst>
        </xdr:cNvPr>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a:extLst>
            <a:ext uri="{FF2B5EF4-FFF2-40B4-BE49-F238E27FC236}">
              <a16:creationId xmlns:a16="http://schemas.microsoft.com/office/drawing/2014/main" id="{00000000-0008-0000-0200-000038000000}"/>
            </a:ext>
          </a:extLst>
        </xdr:cNvPr>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a:extLst>
            <a:ext uri="{FF2B5EF4-FFF2-40B4-BE49-F238E27FC236}">
              <a16:creationId xmlns:a16="http://schemas.microsoft.com/office/drawing/2014/main" id="{00000000-0008-0000-0200-000039000000}"/>
            </a:ext>
          </a:extLst>
        </xdr:cNvPr>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a:extLst>
            <a:ext uri="{FF2B5EF4-FFF2-40B4-BE49-F238E27FC236}">
              <a16:creationId xmlns:a16="http://schemas.microsoft.com/office/drawing/2014/main" id="{00000000-0008-0000-0200-00003A000000}"/>
            </a:ext>
          </a:extLst>
        </xdr:cNvPr>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a:extLst>
            <a:ext uri="{FF2B5EF4-FFF2-40B4-BE49-F238E27FC236}">
              <a16:creationId xmlns:a16="http://schemas.microsoft.com/office/drawing/2014/main" id="{00000000-0008-0000-0200-00003B000000}"/>
            </a:ext>
          </a:extLst>
        </xdr:cNvPr>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2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a:extLst>
            <a:ext uri="{FF2B5EF4-FFF2-40B4-BE49-F238E27FC236}">
              <a16:creationId xmlns:a16="http://schemas.microsoft.com/office/drawing/2014/main" id="{00000000-0008-0000-0200-000025000000}"/>
            </a:ext>
          </a:extLst>
        </xdr:cNvPr>
        <xdr:cNvSpPr/>
      </xdr:nvSpPr>
      <xdr:spPr>
        <a:xfrm>
          <a:off x="338758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200-00002A000000}"/>
            </a:ext>
          </a:extLst>
        </xdr:cNvPr>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a:extLst>
            <a:ext uri="{FF2B5EF4-FFF2-40B4-BE49-F238E27FC236}">
              <a16:creationId xmlns:a16="http://schemas.microsoft.com/office/drawing/2014/main" id="{00000000-0008-0000-0200-00002B000000}"/>
            </a:ext>
          </a:extLst>
        </xdr:cNvPr>
        <xdr:cNvSpPr/>
      </xdr:nvSpPr>
      <xdr:spPr>
        <a:xfrm>
          <a:off x="4514021"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2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a:extLst>
            <a:ext uri="{FF2B5EF4-FFF2-40B4-BE49-F238E27FC236}">
              <a16:creationId xmlns:a16="http://schemas.microsoft.com/office/drawing/2014/main" id="{00000000-0008-0000-0200-00003D000000}"/>
            </a:ext>
          </a:extLst>
        </xdr:cNvPr>
        <xdr:cNvSpPr/>
      </xdr:nvSpPr>
      <xdr:spPr>
        <a:xfrm>
          <a:off x="554934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a:extLst>
            <a:ext uri="{FF2B5EF4-FFF2-40B4-BE49-F238E27FC236}">
              <a16:creationId xmlns:a16="http://schemas.microsoft.com/office/drawing/2014/main" id="{00000000-0008-0000-0200-00003E000000}"/>
            </a:ext>
          </a:extLst>
        </xdr:cNvPr>
        <xdr:cNvSpPr/>
      </xdr:nvSpPr>
      <xdr:spPr>
        <a:xfrm>
          <a:off x="2302564"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2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2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a:extLst>
            <a:ext uri="{FF2B5EF4-FFF2-40B4-BE49-F238E27FC236}">
              <a16:creationId xmlns:a16="http://schemas.microsoft.com/office/drawing/2014/main" id="{00000000-0008-0000-0200-000041000000}"/>
            </a:ext>
          </a:extLst>
        </xdr:cNvPr>
        <xdr:cNvSpPr/>
      </xdr:nvSpPr>
      <xdr:spPr>
        <a:xfrm>
          <a:off x="1283803"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2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2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a:extLst>
            <a:ext uri="{FF2B5EF4-FFF2-40B4-BE49-F238E27FC236}">
              <a16:creationId xmlns:a16="http://schemas.microsoft.com/office/drawing/2014/main" id="{00000000-0008-0000-0200-000045000000}"/>
            </a:ext>
          </a:extLst>
        </xdr:cNvPr>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2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a:extLst>
            <a:ext uri="{FF2B5EF4-FFF2-40B4-BE49-F238E27FC236}">
              <a16:creationId xmlns:a16="http://schemas.microsoft.com/office/drawing/2014/main" id="{00000000-0008-0000-0200-000049000000}"/>
            </a:ext>
          </a:extLst>
        </xdr:cNvPr>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2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2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a:extLst>
            <a:ext uri="{FF2B5EF4-FFF2-40B4-BE49-F238E27FC236}">
              <a16:creationId xmlns:a16="http://schemas.microsoft.com/office/drawing/2014/main" id="{00000000-0008-0000-0200-00004C000000}"/>
            </a:ext>
          </a:extLst>
        </xdr:cNvPr>
        <xdr:cNvSpPr/>
      </xdr:nvSpPr>
      <xdr:spPr>
        <a:xfrm>
          <a:off x="1283803"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2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2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2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2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2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3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43829" y="1469489"/>
          <a:ext cx="4895163" cy="886882"/>
          <a:chOff x="7093414" y="2758110"/>
          <a:chExt cx="5026205" cy="844826"/>
        </a:xfrm>
      </xdr:grpSpPr>
      <xdr:sp macro="" textlink="">
        <xdr:nvSpPr>
          <xdr:cNvPr id="4" name="Oval 3">
            <a:extLst>
              <a:ext uri="{FF2B5EF4-FFF2-40B4-BE49-F238E27FC236}">
                <a16:creationId xmlns:a16="http://schemas.microsoft.com/office/drawing/2014/main" id="{00000000-0008-0000-03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3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3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17145</xdr:rowOff>
    </xdr:from>
    <xdr:to>
      <xdr:col>3</xdr:col>
      <xdr:colOff>474498</xdr:colOff>
      <xdr:row>12</xdr:row>
      <xdr:rowOff>243840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55470"/>
          <a:ext cx="6160923" cy="10744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17145</xdr:rowOff>
    </xdr:from>
    <xdr:to>
      <xdr:col>3</xdr:col>
      <xdr:colOff>472593</xdr:colOff>
      <xdr:row>11</xdr:row>
      <xdr:rowOff>314325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973455"/>
        </a:xfrm>
        <a:prstGeom prst="rect">
          <a:avLst/>
        </a:prstGeom>
      </xdr:spPr>
    </xdr:pic>
    <xdr:clientData/>
  </xdr:twoCellAnchor>
  <xdr:twoCellAnchor editAs="oneCell">
    <xdr:from>
      <xdr:col>0</xdr:col>
      <xdr:colOff>0</xdr:colOff>
      <xdr:row>9</xdr:row>
      <xdr:rowOff>17145</xdr:rowOff>
    </xdr:from>
    <xdr:to>
      <xdr:col>3</xdr:col>
      <xdr:colOff>131445</xdr:colOff>
      <xdr:row>12</xdr:row>
      <xdr:rowOff>59552</xdr:rowOff>
    </xdr:to>
    <xdr:pic>
      <xdr:nvPicPr>
        <xdr:cNvPr id="8" name="Picture 7" hidden="1">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17145</xdr:rowOff>
    </xdr:from>
    <xdr:to>
      <xdr:col>3</xdr:col>
      <xdr:colOff>135255</xdr:colOff>
      <xdr:row>11</xdr:row>
      <xdr:rowOff>168137</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827267"/>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I139"/>
  <sheetViews>
    <sheetView topLeftCell="B25" zoomScaleNormal="100" zoomScaleSheetLayoutView="100" zoomScalePageLayoutView="85" workbookViewId="0">
      <selection activeCell="I57" sqref="I57"/>
    </sheetView>
  </sheetViews>
  <sheetFormatPr defaultColWidth="9.109375" defaultRowHeight="13.2" x14ac:dyDescent="0.25"/>
  <cols>
    <col min="2" max="2" width="6.88671875" style="70" customWidth="1"/>
    <col min="3" max="3" width="39.109375" style="70" bestFit="1" customWidth="1"/>
    <col min="4" max="4" width="33.6640625" style="70" customWidth="1"/>
    <col min="5" max="5" width="7.5546875" style="70" bestFit="1" customWidth="1"/>
    <col min="6" max="6" width="22.33203125" style="70" bestFit="1" customWidth="1"/>
    <col min="7" max="7" width="5.6640625" style="70" customWidth="1"/>
    <col min="8" max="8" width="13.109375" style="70" bestFit="1" customWidth="1"/>
    <col min="9" max="9" width="20" style="70" customWidth="1"/>
    <col min="10" max="10" width="37.5546875" customWidth="1"/>
    <col min="11" max="11" width="39.109375" bestFit="1" customWidth="1"/>
    <col min="12" max="12" width="21.44140625" customWidth="1"/>
  </cols>
  <sheetData>
    <row r="1" spans="2:9" ht="15.6" customHeight="1" x14ac:dyDescent="0.25">
      <c r="F1" s="115"/>
      <c r="G1" s="116"/>
      <c r="H1" s="117" t="s">
        <v>145</v>
      </c>
      <c r="I1" s="118" t="s">
        <v>144</v>
      </c>
    </row>
    <row r="2" spans="2:9" ht="15.75" customHeight="1" x14ac:dyDescent="0.25">
      <c r="E2" s="115"/>
      <c r="F2" s="115"/>
      <c r="G2" s="114"/>
      <c r="H2" s="119" t="s">
        <v>146</v>
      </c>
      <c r="I2" s="120" t="s">
        <v>320</v>
      </c>
    </row>
    <row r="3" spans="2:9" ht="15.75" customHeight="1" x14ac:dyDescent="0.25">
      <c r="E3" s="115"/>
      <c r="F3" s="115"/>
      <c r="G3" s="114"/>
      <c r="H3" s="119" t="s">
        <v>1</v>
      </c>
      <c r="I3" s="121">
        <v>44888</v>
      </c>
    </row>
    <row r="4" spans="2:9" ht="15.75" customHeight="1" thickBot="1" x14ac:dyDescent="0.3">
      <c r="E4" s="107"/>
      <c r="F4" s="107"/>
      <c r="G4" s="114"/>
      <c r="H4" s="122" t="s">
        <v>147</v>
      </c>
      <c r="I4" s="123">
        <v>14841</v>
      </c>
    </row>
    <row r="5" spans="2:9" ht="9" customHeight="1" thickBot="1" x14ac:dyDescent="0.3">
      <c r="B5" s="124"/>
      <c r="C5" s="124"/>
      <c r="D5" s="124"/>
      <c r="E5" s="124"/>
      <c r="F5" s="124"/>
      <c r="G5" s="124"/>
      <c r="H5" s="124"/>
      <c r="I5" s="124"/>
    </row>
    <row r="6" spans="2:9" ht="9" customHeight="1" thickTop="1" x14ac:dyDescent="0.25"/>
    <row r="7" spans="2:9" ht="9" customHeight="1" x14ac:dyDescent="0.25"/>
    <row r="8" spans="2:9" ht="9" customHeight="1" x14ac:dyDescent="0.25"/>
    <row r="9" spans="2:9" ht="22.5" customHeight="1" x14ac:dyDescent="0.25">
      <c r="B9" s="412" t="s">
        <v>108</v>
      </c>
      <c r="C9" s="412"/>
      <c r="D9" s="412"/>
      <c r="E9" s="412"/>
      <c r="F9" s="411" t="s">
        <v>119</v>
      </c>
      <c r="G9" s="411"/>
      <c r="H9" s="411"/>
      <c r="I9" s="411"/>
    </row>
    <row r="10" spans="2:9" ht="9.75" customHeight="1" x14ac:dyDescent="0.25"/>
    <row r="11" spans="2:9" ht="15.75" customHeight="1" x14ac:dyDescent="0.25">
      <c r="B11" s="413" t="s">
        <v>155</v>
      </c>
      <c r="C11" s="413"/>
      <c r="D11" s="413"/>
      <c r="E11" s="413"/>
      <c r="F11" s="413"/>
      <c r="G11" s="413"/>
      <c r="H11" s="413"/>
      <c r="I11" s="413"/>
    </row>
    <row r="12" spans="2:9" ht="15.75" customHeight="1" x14ac:dyDescent="0.25">
      <c r="B12" s="413" t="s">
        <v>156</v>
      </c>
      <c r="C12" s="391"/>
      <c r="D12" s="391"/>
      <c r="E12" s="391"/>
      <c r="F12" s="391"/>
      <c r="G12" s="391"/>
      <c r="H12" s="391"/>
      <c r="I12" s="391"/>
    </row>
    <row r="13" spans="2:9" ht="15.75" customHeight="1" x14ac:dyDescent="0.25">
      <c r="B13" s="413" t="s">
        <v>157</v>
      </c>
      <c r="C13" s="391"/>
      <c r="D13" s="391"/>
      <c r="E13" s="391"/>
      <c r="F13" s="391"/>
      <c r="G13" s="391"/>
      <c r="H13" s="391"/>
      <c r="I13" s="391"/>
    </row>
    <row r="14" spans="2:9" ht="8.25" customHeight="1" x14ac:dyDescent="0.25"/>
    <row r="15" spans="2:9" ht="21" customHeight="1" x14ac:dyDescent="0.25">
      <c r="B15" s="392" t="s">
        <v>0</v>
      </c>
      <c r="C15" s="393"/>
      <c r="D15" s="88"/>
      <c r="F15" s="87"/>
      <c r="G15" s="87"/>
      <c r="H15" s="87"/>
    </row>
    <row r="16" spans="2:9" ht="21" customHeight="1" x14ac:dyDescent="0.25">
      <c r="B16" s="392" t="s">
        <v>107</v>
      </c>
      <c r="C16" s="393"/>
      <c r="D16" s="88"/>
      <c r="F16" s="87"/>
      <c r="G16" s="87"/>
      <c r="H16" s="87"/>
    </row>
    <row r="17" spans="2:9" ht="21" customHeight="1" x14ac:dyDescent="0.25">
      <c r="B17" s="392" t="s">
        <v>1</v>
      </c>
      <c r="C17" s="393"/>
      <c r="D17" s="178"/>
      <c r="F17" s="86"/>
    </row>
    <row r="18" spans="2:9" ht="21" customHeight="1" thickBot="1" x14ac:dyDescent="0.3">
      <c r="B18" s="392" t="s">
        <v>96</v>
      </c>
      <c r="C18" s="393"/>
      <c r="D18" s="172" t="s">
        <v>300</v>
      </c>
    </row>
    <row r="19" spans="2:9" ht="21" customHeight="1" x14ac:dyDescent="0.25">
      <c r="B19" s="409" t="s">
        <v>303</v>
      </c>
      <c r="C19" s="170" t="s">
        <v>252</v>
      </c>
      <c r="D19" s="363" t="s">
        <v>328</v>
      </c>
      <c r="E19" s="308"/>
      <c r="F19" s="382" t="str">
        <f>IF(AND(OR(D18=Constants!B11,D18=Constants!B12),D19&lt;&gt;"G1 Main Hull"),"  Must Use G1 Main Hull",IF(D19="Other: FWD","Please input custom hull length in cell D17",""))</f>
        <v/>
      </c>
      <c r="G19" s="382"/>
      <c r="H19" s="382"/>
      <c r="I19" s="382"/>
    </row>
    <row r="20" spans="2:9" ht="21" customHeight="1" x14ac:dyDescent="0.25">
      <c r="B20" s="410"/>
      <c r="C20" s="171" t="s">
        <v>253</v>
      </c>
      <c r="D20" s="363" t="s">
        <v>329</v>
      </c>
      <c r="E20" s="308"/>
      <c r="F20" s="382" t="str">
        <f>IF(AND(OR(D18=Constants!B11,D18=Constants!B12),D20&lt;&gt;"G1 Main Hull"),"  Must Use G1 Main Hull",IF(D20="Other: AFT","Please input custom hull length in cell D18",""))</f>
        <v/>
      </c>
      <c r="G20" s="382"/>
      <c r="H20" s="382"/>
      <c r="I20" s="382"/>
    </row>
    <row r="21" spans="2:9" ht="21" customHeight="1" x14ac:dyDescent="0.25">
      <c r="B21" s="410"/>
      <c r="C21" s="171" t="s">
        <v>254</v>
      </c>
      <c r="D21" s="364" t="s">
        <v>330</v>
      </c>
      <c r="E21" s="308"/>
      <c r="F21" s="382" t="str">
        <f>IF(AND(OR(D18=Constants!B11,D18=Constants!B12),D21&lt;&gt;"G1 Science Bay"),"  Must Use G1 Science Bay",IF(D21="Other: Primary","Please input custom hull length in cell D19 including stiffener rings",""))</f>
        <v/>
      </c>
      <c r="G21" s="382"/>
      <c r="H21" s="382"/>
      <c r="I21" s="382"/>
    </row>
    <row r="22" spans="2:9" ht="21" customHeight="1" x14ac:dyDescent="0.25">
      <c r="B22" s="410"/>
      <c r="C22" s="171" t="s">
        <v>255</v>
      </c>
      <c r="D22" s="363"/>
      <c r="E22" s="298" t="str">
        <f>IF(AND(OR(D18=Constants!B11,D18=Constants!B12),IF(D22&lt;&gt;"None",IF(D22&lt;&gt;"G1 Science Bay",1,0))),"  Must Use G1 Science Bay","")</f>
        <v/>
      </c>
      <c r="F22" s="382" t="str">
        <f>IF(AND(OR(D18=Constants!B11,D18=Constants!B12),D22&lt;&gt;"G1 Science Bay"),"  Must Use G1 Science Bay",IF(D22="Other: Primary","Please input custom hull length in cell D20 including only FWD stiffener ring",""))</f>
        <v/>
      </c>
      <c r="G22" s="382"/>
      <c r="H22" s="382"/>
      <c r="I22" s="382"/>
    </row>
    <row r="23" spans="2:9" ht="23.25" customHeight="1" x14ac:dyDescent="0.25">
      <c r="B23" s="410"/>
      <c r="C23" s="171" t="s">
        <v>153</v>
      </c>
      <c r="D23" s="364"/>
      <c r="F23" s="86" t="str">
        <f>IF(Constants!S11=TRUE,"  Only check if working with G2 glider","")</f>
        <v/>
      </c>
    </row>
    <row r="24" spans="2:9" ht="23.25" customHeight="1" x14ac:dyDescent="0.25">
      <c r="B24" s="410"/>
      <c r="C24" s="171" t="s">
        <v>179</v>
      </c>
      <c r="D24" s="364"/>
      <c r="F24" s="86"/>
    </row>
    <row r="25" spans="2:9" ht="23.25" customHeight="1" x14ac:dyDescent="0.25">
      <c r="B25" s="410"/>
      <c r="C25" s="171" t="s">
        <v>180</v>
      </c>
      <c r="D25" s="364"/>
      <c r="F25" s="86"/>
    </row>
    <row r="26" spans="2:9" ht="23.25" customHeight="1" x14ac:dyDescent="0.25">
      <c r="B26" s="410"/>
      <c r="C26" s="171" t="s">
        <v>297</v>
      </c>
      <c r="D26" s="364"/>
      <c r="F26" s="86"/>
    </row>
    <row r="27" spans="2:9" ht="23.25" customHeight="1" x14ac:dyDescent="0.25">
      <c r="B27" s="410"/>
      <c r="C27" s="171" t="s">
        <v>194</v>
      </c>
      <c r="D27" s="363" t="s">
        <v>251</v>
      </c>
      <c r="E27" s="270"/>
      <c r="F27" s="86"/>
    </row>
    <row r="28" spans="2:9" ht="23.25" customHeight="1" x14ac:dyDescent="0.25">
      <c r="B28" s="410"/>
      <c r="C28" s="171" t="s">
        <v>249</v>
      </c>
      <c r="D28" s="365" t="s">
        <v>302</v>
      </c>
      <c r="E28" s="414" t="str">
        <f>IF(AND(Constants!$M$11=TRUE,Constants!$M$13=TRUE),"Cannot have dummy weight and thruster installed simultaneously","")</f>
        <v/>
      </c>
      <c r="F28" s="415"/>
    </row>
    <row r="29" spans="2:9" ht="23.25" customHeight="1" x14ac:dyDescent="0.25">
      <c r="B29" s="410"/>
      <c r="C29" s="171" t="s">
        <v>248</v>
      </c>
      <c r="D29" s="365"/>
      <c r="E29" s="270"/>
      <c r="F29" s="86"/>
    </row>
    <row r="30" spans="2:9" ht="23.25" customHeight="1" thickBot="1" x14ac:dyDescent="0.3">
      <c r="B30" s="426" t="s">
        <v>304</v>
      </c>
      <c r="C30" s="427"/>
      <c r="D30" s="295"/>
      <c r="F30" s="86"/>
    </row>
    <row r="31" spans="2:9" ht="25.5" customHeight="1" x14ac:dyDescent="0.25">
      <c r="B31" s="424" t="s">
        <v>104</v>
      </c>
      <c r="C31" s="425"/>
      <c r="D31" s="179">
        <f>IF(D18=Constants!B11,Constants!C11,IF(D18=Constants!B12,Constants!C12,IF(D18=Constants!B13,Constants!C13,IF(D18=Constants!B14,Constants!C14,IF(D18=Constants!B18,Constants!C18,IF(D18=Constants!B15,Constants!C15,IF(D18=Constants!B16,Constants!C16,IF(D18=Constants!B17,Constants!C17,"Please Select Glider Type"))))))))</f>
        <v>10.398</v>
      </c>
      <c r="E31" s="70" t="s">
        <v>2</v>
      </c>
      <c r="F31" s="86"/>
    </row>
    <row r="32" spans="2:9" ht="17.399999999999999" customHeight="1" x14ac:dyDescent="0.25">
      <c r="B32" s="392" t="s">
        <v>101</v>
      </c>
      <c r="C32" s="393"/>
      <c r="D32" s="287">
        <f>D31+D30+Constants!C96+IF(D19="Other",E19,0)+IF(D20="Other",E20,0)+IF(D21="Other",E21,0)</f>
        <v>62.009978830289654</v>
      </c>
      <c r="E32" s="70" t="s">
        <v>2</v>
      </c>
    </row>
    <row r="33" spans="2:9" ht="15.75" customHeight="1" x14ac:dyDescent="0.25"/>
    <row r="34" spans="2:9" ht="15.75" customHeight="1" x14ac:dyDescent="0.25">
      <c r="B34" s="181"/>
      <c r="C34" s="181"/>
      <c r="D34" s="263"/>
      <c r="G34"/>
      <c r="H34"/>
      <c r="I34"/>
    </row>
    <row r="35" spans="2:9" ht="15.75" customHeight="1" x14ac:dyDescent="0.25">
      <c r="B35" s="402" t="s">
        <v>319</v>
      </c>
      <c r="C35" s="403"/>
      <c r="D35" s="384" t="s">
        <v>245</v>
      </c>
    </row>
    <row r="36" spans="2:9" x14ac:dyDescent="0.25">
      <c r="B36" s="404"/>
      <c r="C36" s="405"/>
      <c r="D36" s="385">
        <f>IF(D35="Standard",D32,IF(D35 = "Advanced",D136,"Please Choose Volume Calculation Method Above"))</f>
        <v>62.009978830289654</v>
      </c>
      <c r="H36" s="89"/>
      <c r="I36"/>
    </row>
    <row r="37" spans="2:9" ht="18.75" customHeight="1" x14ac:dyDescent="0.25">
      <c r="B37" s="265"/>
      <c r="C37" s="265"/>
      <c r="D37" s="263"/>
      <c r="H37" s="89"/>
      <c r="I37"/>
    </row>
    <row r="38" spans="2:9" ht="15.75" customHeight="1" x14ac:dyDescent="0.25">
      <c r="D38" s="77" t="s">
        <v>4</v>
      </c>
      <c r="E38" s="77"/>
      <c r="F38" s="89" t="s">
        <v>3</v>
      </c>
      <c r="G38" s="89"/>
      <c r="H38" s="77" t="s">
        <v>223</v>
      </c>
    </row>
    <row r="39" spans="2:9" ht="15.75" customHeight="1" x14ac:dyDescent="0.25">
      <c r="B39" s="392" t="s">
        <v>64</v>
      </c>
      <c r="C39" s="393"/>
      <c r="D39" s="465">
        <v>24.596</v>
      </c>
      <c r="E39" s="91" t="s">
        <v>7</v>
      </c>
      <c r="F39" s="465">
        <v>11</v>
      </c>
      <c r="G39" s="91" t="s">
        <v>7</v>
      </c>
      <c r="H39" s="92">
        <f>D36*53.5*10^-6*(F39-D39)*F45</f>
        <v>-46.187715032523847</v>
      </c>
      <c r="I39" s="70" t="s">
        <v>8</v>
      </c>
    </row>
    <row r="40" spans="2:9" s="22" customFormat="1" ht="15.75" customHeight="1" x14ac:dyDescent="0.25">
      <c r="B40" s="392" t="s">
        <v>65</v>
      </c>
      <c r="C40" s="393"/>
      <c r="D40" s="94"/>
      <c r="E40" s="70" t="s">
        <v>6</v>
      </c>
      <c r="F40" s="465">
        <v>1024</v>
      </c>
      <c r="G40" s="70" t="s">
        <v>6</v>
      </c>
      <c r="H40" s="92"/>
      <c r="I40" s="93"/>
    </row>
    <row r="41" spans="2:9" s="22" customFormat="1" ht="15.75" customHeight="1" x14ac:dyDescent="0.25">
      <c r="B41" s="392" t="s">
        <v>66</v>
      </c>
      <c r="C41" s="393"/>
      <c r="D41" s="465">
        <v>5.1900000000000002E-2</v>
      </c>
      <c r="E41" s="93" t="s">
        <v>16</v>
      </c>
      <c r="F41" s="94"/>
      <c r="G41" s="93" t="s">
        <v>16</v>
      </c>
      <c r="H41" s="95"/>
      <c r="I41" s="93"/>
    </row>
    <row r="42" spans="2:9" s="22" customFormat="1" ht="15.75" customHeight="1" x14ac:dyDescent="0.25">
      <c r="B42" s="392" t="s">
        <v>67</v>
      </c>
      <c r="C42" s="393"/>
      <c r="D42" s="94"/>
      <c r="E42" s="93" t="s">
        <v>5</v>
      </c>
      <c r="F42" s="94"/>
      <c r="G42" s="93" t="s">
        <v>5</v>
      </c>
      <c r="H42" s="95"/>
      <c r="I42" s="93"/>
    </row>
    <row r="43" spans="2:9" s="22" customFormat="1" ht="15.75" customHeight="1" x14ac:dyDescent="0.25">
      <c r="B43" s="180"/>
      <c r="C43" s="181"/>
      <c r="D43" s="95"/>
      <c r="E43" s="93"/>
      <c r="F43" s="95"/>
      <c r="G43" s="93"/>
      <c r="H43" s="95"/>
      <c r="I43" s="93"/>
    </row>
    <row r="44" spans="2:9" ht="15.75" customHeight="1" x14ac:dyDescent="0.25">
      <c r="B44" s="392" t="s">
        <v>33</v>
      </c>
      <c r="C44" s="393"/>
      <c r="D44" s="96">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0.25334595672125143</v>
      </c>
      <c r="E44" s="70" t="s">
        <v>5</v>
      </c>
      <c r="F44" s="96">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0</v>
      </c>
      <c r="G44" s="70" t="s">
        <v>5</v>
      </c>
      <c r="H44" s="92"/>
    </row>
    <row r="45" spans="2:9" ht="15.75" customHeight="1" x14ac:dyDescent="0.25">
      <c r="B45" s="392" t="s">
        <v>63</v>
      </c>
      <c r="C45" s="393"/>
      <c r="D45" s="97">
        <f>IF(D40,D40,(999.842594+D39*(6.793952*10^-2+D39*(-9.09529*10^-3+D39*(1.001685*10^-4+D39*(-1.120083*10^-6+D39*6.536332*10^-9)))))+D44*((0.824493+D39*(-4.0899*10^-3+D39*(7.6438*10^-5+D39*(-8.2467*10^-7+D39*5.3875*10^-9))))+(-5.72466*10^-3+D39*(1.0227*10^-4-D39*1.6546*10^-6))*SQRT(D44)+4.8314*10^-4*D44))</f>
        <v>997.34269933483245</v>
      </c>
      <c r="E45" s="70" t="s">
        <v>6</v>
      </c>
      <c r="F45" s="97">
        <f>IF(F40,F40,(999.842594+F39*(6.793952*10^-2+F39*(-9.09529*10^-3+F39*(1.001685*10^-4+F39*(-1.120083*10^-6+F39*6.536332*10^-9)))))+F44*((0.824493+F39*(-4.0899*10^-3+F39*(7.6438*10^-5+F39*(-8.2467*10^-7+F39*5.3875*10^-9))))+(-5.72466*10^-3+F39*(1.0227*10^-4-F39*1.6546*10^-6))*SQRT(F44)+4.8314*10^-4*F44))</f>
        <v>1024</v>
      </c>
      <c r="G45" s="70" t="s">
        <v>6</v>
      </c>
      <c r="H45" s="92">
        <f>(F45-D45)*D36</f>
        <v>1653.0186499197064</v>
      </c>
      <c r="I45" s="70" t="s">
        <v>8</v>
      </c>
    </row>
    <row r="46" spans="2:9" ht="15.75" customHeight="1" x14ac:dyDescent="0.25">
      <c r="B46" s="182"/>
      <c r="C46" s="182"/>
      <c r="F46" s="77" t="s">
        <v>224</v>
      </c>
      <c r="G46" s="77"/>
      <c r="H46" s="98">
        <f>SUM(H39:H45)</f>
        <v>1606.8309348871826</v>
      </c>
      <c r="I46" s="70" t="s">
        <v>8</v>
      </c>
    </row>
    <row r="47" spans="2:9" ht="15.75" customHeight="1" x14ac:dyDescent="0.25">
      <c r="B47" s="392" t="s">
        <v>143</v>
      </c>
      <c r="C47" s="392"/>
      <c r="D47" s="175"/>
    </row>
    <row r="48" spans="2:9" ht="29.25" customHeight="1" x14ac:dyDescent="0.25">
      <c r="B48" s="394" t="s">
        <v>186</v>
      </c>
      <c r="C48" s="395"/>
      <c r="D48" s="113" t="str">
        <f>IF(D47="Lead",ABS(H46/0.912/2),IF(D47="Stainless Steel",ABS(H46/0.875/2),""))</f>
        <v/>
      </c>
    </row>
    <row r="49" spans="2:9" ht="9" customHeight="1" x14ac:dyDescent="0.25">
      <c r="B49" s="406"/>
      <c r="C49" s="406"/>
      <c r="D49" s="109"/>
    </row>
    <row r="50" spans="2:9" ht="15.75" customHeight="1" x14ac:dyDescent="0.25">
      <c r="B50" s="393" t="s">
        <v>122</v>
      </c>
      <c r="C50" s="408"/>
      <c r="D50" s="381" t="s">
        <v>125</v>
      </c>
      <c r="E50" s="407" t="s">
        <v>225</v>
      </c>
      <c r="F50" s="407"/>
    </row>
    <row r="51" spans="2:9" ht="15.75" customHeight="1" x14ac:dyDescent="0.25">
      <c r="B51" s="393" t="s">
        <v>127</v>
      </c>
      <c r="C51" s="408"/>
      <c r="D51" s="112"/>
      <c r="E51" s="397"/>
      <c r="F51" s="397"/>
    </row>
    <row r="52" spans="2:9" ht="27" customHeight="1" x14ac:dyDescent="0.25">
      <c r="B52" s="394" t="s">
        <v>170</v>
      </c>
      <c r="C52" s="395"/>
      <c r="D52" s="188"/>
      <c r="E52" s="396"/>
      <c r="F52" s="397"/>
    </row>
    <row r="53" spans="2:9" ht="15.75" customHeight="1" x14ac:dyDescent="0.25">
      <c r="B53" s="393" t="s">
        <v>126</v>
      </c>
      <c r="C53" s="408"/>
      <c r="D53" s="381" t="s">
        <v>173</v>
      </c>
      <c r="E53" s="396"/>
      <c r="F53" s="397"/>
    </row>
    <row r="54" spans="2:9" ht="29.25" customHeight="1" x14ac:dyDescent="0.25">
      <c r="B54" s="393" t="s">
        <v>128</v>
      </c>
      <c r="C54" s="408"/>
      <c r="D54" s="186"/>
      <c r="E54" s="397"/>
      <c r="F54" s="397"/>
    </row>
    <row r="55" spans="2:9" ht="29.25" customHeight="1" x14ac:dyDescent="0.25">
      <c r="B55" s="181"/>
      <c r="C55" s="181"/>
      <c r="D55" s="181"/>
      <c r="E55" s="181"/>
      <c r="F55" s="181"/>
      <c r="G55" s="181"/>
    </row>
    <row r="56" spans="2:9" ht="19.5" customHeight="1" thickBot="1" x14ac:dyDescent="0.3">
      <c r="B56" s="401" t="s">
        <v>318</v>
      </c>
      <c r="C56" s="401"/>
      <c r="D56" s="401"/>
      <c r="E56" s="401"/>
      <c r="F56" s="401"/>
      <c r="G56" s="401"/>
      <c r="H56" s="401"/>
      <c r="I56" s="401"/>
    </row>
    <row r="57" spans="2:9" ht="19.5" customHeight="1" thickTop="1" x14ac:dyDescent="0.25">
      <c r="B57" s="383"/>
      <c r="C57" s="383"/>
      <c r="D57" s="383"/>
      <c r="E57" s="383"/>
      <c r="F57" s="383"/>
      <c r="G57" s="383"/>
      <c r="H57" s="383"/>
      <c r="I57" s="383"/>
    </row>
    <row r="58" spans="2:9" ht="19.5" customHeight="1" x14ac:dyDescent="0.25">
      <c r="B58" s="327"/>
      <c r="C58" s="327"/>
      <c r="D58" s="327"/>
      <c r="E58" s="327"/>
      <c r="F58" s="327"/>
      <c r="G58" s="327"/>
      <c r="H58" s="327"/>
      <c r="I58" s="327"/>
    </row>
    <row r="59" spans="2:9" ht="19.5" customHeight="1" x14ac:dyDescent="0.25">
      <c r="B59" s="327"/>
      <c r="C59" s="327"/>
      <c r="D59" s="327"/>
      <c r="E59" s="327"/>
      <c r="F59" s="327"/>
      <c r="G59" s="327"/>
      <c r="H59" s="327"/>
      <c r="I59" s="327"/>
    </row>
    <row r="60" spans="2:9" ht="19.5" customHeight="1" x14ac:dyDescent="0.25">
      <c r="B60" s="327"/>
      <c r="C60" s="327"/>
      <c r="D60" s="327"/>
      <c r="E60" s="327"/>
      <c r="F60" s="327"/>
      <c r="G60" s="327"/>
      <c r="H60" s="327"/>
      <c r="I60" s="327"/>
    </row>
    <row r="61" spans="2:9" ht="19.5" customHeight="1" x14ac:dyDescent="0.25">
      <c r="B61" s="327"/>
      <c r="C61" s="327"/>
      <c r="D61" s="327"/>
      <c r="E61" s="327"/>
      <c r="F61" s="327"/>
      <c r="G61" s="327"/>
      <c r="H61" s="327"/>
      <c r="I61" s="327"/>
    </row>
    <row r="62" spans="2:9" ht="15.75" customHeight="1" x14ac:dyDescent="0.25">
      <c r="B62" s="107" t="s">
        <v>148</v>
      </c>
      <c r="C62"/>
    </row>
    <row r="63" spans="2:9" ht="6" customHeight="1" x14ac:dyDescent="0.25"/>
    <row r="64" spans="2:9" ht="15.75" customHeight="1" x14ac:dyDescent="0.25">
      <c r="B64" s="391" t="s">
        <v>9</v>
      </c>
      <c r="C64" s="391"/>
      <c r="D64" s="391"/>
      <c r="E64" s="391"/>
      <c r="F64" s="391"/>
      <c r="G64" s="391"/>
      <c r="H64" s="391"/>
    </row>
    <row r="65" spans="2:8" ht="15.75" customHeight="1" x14ac:dyDescent="0.25">
      <c r="B65" s="391" t="s">
        <v>10</v>
      </c>
      <c r="C65" s="391"/>
      <c r="D65" s="391"/>
      <c r="E65" s="391"/>
      <c r="F65" s="391"/>
      <c r="G65" s="391"/>
      <c r="H65" s="391"/>
    </row>
    <row r="66" spans="2:8" ht="15.75" customHeight="1" x14ac:dyDescent="0.25">
      <c r="B66" s="391" t="s">
        <v>11</v>
      </c>
      <c r="C66" s="391"/>
      <c r="D66" s="391"/>
      <c r="E66" s="391"/>
      <c r="F66" s="391"/>
      <c r="G66" s="391"/>
      <c r="H66" s="391"/>
    </row>
    <row r="67" spans="2:8" ht="15.75" customHeight="1" x14ac:dyDescent="0.25">
      <c r="B67" s="391" t="s">
        <v>12</v>
      </c>
      <c r="C67" s="391"/>
      <c r="D67" s="391"/>
      <c r="E67" s="391"/>
      <c r="F67" s="391"/>
      <c r="G67" s="391"/>
      <c r="H67" s="391"/>
    </row>
    <row r="68" spans="2:8" ht="14.25" customHeight="1" x14ac:dyDescent="0.25">
      <c r="B68" s="398" t="s">
        <v>120</v>
      </c>
      <c r="C68" s="398"/>
      <c r="D68" s="398"/>
      <c r="E68" s="398"/>
      <c r="F68" s="398"/>
      <c r="G68" s="398"/>
      <c r="H68" s="398"/>
    </row>
    <row r="69" spans="2:8" ht="14.25" customHeight="1" x14ac:dyDescent="0.25">
      <c r="B69" s="398"/>
      <c r="C69" s="398"/>
      <c r="D69" s="398"/>
      <c r="E69" s="398"/>
      <c r="F69" s="398"/>
      <c r="G69" s="398"/>
      <c r="H69" s="398"/>
    </row>
    <row r="70" spans="2:8" ht="14.25" customHeight="1" x14ac:dyDescent="0.25">
      <c r="B70" s="398"/>
      <c r="C70" s="398"/>
      <c r="D70" s="398"/>
      <c r="E70" s="398"/>
      <c r="F70" s="398"/>
      <c r="G70" s="398"/>
      <c r="H70" s="398"/>
    </row>
    <row r="71" spans="2:8" ht="13.5" customHeight="1" x14ac:dyDescent="0.25">
      <c r="B71" s="398" t="s">
        <v>121</v>
      </c>
      <c r="C71" s="398"/>
      <c r="D71" s="398"/>
      <c r="E71" s="398"/>
      <c r="F71" s="398"/>
      <c r="G71" s="398"/>
      <c r="H71" s="398"/>
    </row>
    <row r="72" spans="2:8" ht="13.5" customHeight="1" x14ac:dyDescent="0.25">
      <c r="B72" s="398"/>
      <c r="C72" s="398"/>
      <c r="D72" s="398"/>
      <c r="E72" s="398"/>
      <c r="F72" s="398"/>
      <c r="G72" s="398"/>
      <c r="H72" s="398"/>
    </row>
    <row r="73" spans="2:8" ht="15.75" customHeight="1" x14ac:dyDescent="0.25"/>
    <row r="74" spans="2:8" ht="15.75" customHeight="1" x14ac:dyDescent="0.25">
      <c r="B74" s="389" t="s">
        <v>27</v>
      </c>
      <c r="C74" s="390"/>
      <c r="D74" s="90">
        <v>0</v>
      </c>
      <c r="E74" s="70" t="s">
        <v>20</v>
      </c>
      <c r="F74" s="99" t="str">
        <f>IF(ABS(D74&lt;1.25),"","Error: starting roll too high.  Re-check.")</f>
        <v/>
      </c>
      <c r="H74"/>
    </row>
    <row r="75" spans="2:8" ht="15.75" customHeight="1" x14ac:dyDescent="0.25">
      <c r="B75" s="389" t="s">
        <v>28</v>
      </c>
      <c r="C75" s="390"/>
      <c r="D75" s="90">
        <v>0</v>
      </c>
      <c r="E75" s="70" t="s">
        <v>20</v>
      </c>
      <c r="F75" s="99" t="str">
        <f>IF(ABS(D75&lt;1.25),"","Error: ending roll too high. Re-check.")</f>
        <v/>
      </c>
      <c r="H75"/>
    </row>
    <row r="76" spans="2:8" ht="15.75" customHeight="1" x14ac:dyDescent="0.25">
      <c r="B76" s="84"/>
      <c r="C76" s="53"/>
      <c r="D76" s="100"/>
      <c r="F76" s="101"/>
      <c r="H76"/>
    </row>
    <row r="77" spans="2:8" ht="15.75" customHeight="1" x14ac:dyDescent="0.25">
      <c r="B77" s="389" t="s">
        <v>29</v>
      </c>
      <c r="C77" s="390"/>
      <c r="D77" s="102">
        <v>0</v>
      </c>
      <c r="E77" s="70" t="s">
        <v>8</v>
      </c>
      <c r="F77" s="99" t="str">
        <f>IF(D77&lt;0,"Error: Weight should be positive",IF(D77&gt;2000,"Error, weight seems to be too high.",""))</f>
        <v/>
      </c>
      <c r="H77"/>
    </row>
    <row r="78" spans="2:8" ht="15.75" customHeight="1" x14ac:dyDescent="0.25">
      <c r="B78" s="389" t="s">
        <v>30</v>
      </c>
      <c r="C78" s="390"/>
      <c r="D78" s="102">
        <v>0</v>
      </c>
      <c r="E78" s="70" t="s">
        <v>8</v>
      </c>
      <c r="F78" s="99" t="str">
        <f>IF(D78&lt;0,"Error: Weight should be positive",IF(D78&gt;2000,"Error, weight seems to be too high.",""))</f>
        <v/>
      </c>
      <c r="H78"/>
    </row>
    <row r="79" spans="2:8" ht="15.75" customHeight="1" x14ac:dyDescent="0.25">
      <c r="B79" s="389" t="s">
        <v>31</v>
      </c>
      <c r="C79" s="390"/>
      <c r="D79" s="103">
        <f>(D75-D74)/(PI()/180)</f>
        <v>0</v>
      </c>
      <c r="E79" s="70" t="s">
        <v>26</v>
      </c>
      <c r="F79" s="101"/>
      <c r="H79"/>
    </row>
    <row r="80" spans="2:8" ht="26.25" customHeight="1" x14ac:dyDescent="0.25">
      <c r="B80" s="399" t="s">
        <v>129</v>
      </c>
      <c r="C80" s="400"/>
      <c r="D80" s="104">
        <v>107</v>
      </c>
      <c r="E80" s="70" t="s">
        <v>13</v>
      </c>
      <c r="F80" s="99" t="str">
        <f>IF(D80&lt;107,"Error: distance should be greater than radius of hull",IF(D80&gt;600,"Error: distance too high.",""))</f>
        <v/>
      </c>
      <c r="H80"/>
    </row>
    <row r="81" spans="2:8" ht="15.75" customHeight="1" x14ac:dyDescent="0.25">
      <c r="B81" s="389" t="s">
        <v>32</v>
      </c>
      <c r="C81" s="389"/>
      <c r="D81" s="389"/>
      <c r="F81" s="101"/>
      <c r="H81"/>
    </row>
    <row r="82" spans="2:8" ht="15.75" customHeight="1" x14ac:dyDescent="0.25">
      <c r="B82" s="110"/>
      <c r="C82" s="53"/>
      <c r="D82" s="105"/>
      <c r="F82" s="101"/>
      <c r="H82"/>
    </row>
    <row r="83" spans="2:8" ht="15.75" customHeight="1" x14ac:dyDescent="0.25">
      <c r="B83" s="389" t="s">
        <v>14</v>
      </c>
      <c r="C83" s="390"/>
      <c r="D83" s="103" t="e">
        <f>((D77+D78)*D80)/(D36*1000*TAN(D79*(PI()/180)))</f>
        <v>#DIV/0!</v>
      </c>
      <c r="E83" s="70" t="s">
        <v>13</v>
      </c>
      <c r="F83" s="101"/>
      <c r="H83"/>
    </row>
    <row r="84" spans="2:8" ht="15.75" customHeight="1" x14ac:dyDescent="0.25">
      <c r="B84" s="110"/>
      <c r="C84" s="53"/>
      <c r="D84" s="106"/>
      <c r="F84" s="101"/>
      <c r="H84"/>
    </row>
    <row r="85" spans="2:8" ht="15.75" customHeight="1" x14ac:dyDescent="0.25">
      <c r="B85" s="389" t="s">
        <v>226</v>
      </c>
      <c r="C85" s="390"/>
      <c r="D85" s="97">
        <f>E51</f>
        <v>0</v>
      </c>
      <c r="E85" s="70" t="s">
        <v>19</v>
      </c>
      <c r="F85" s="99" t="str">
        <f>IF(D85=0,"",IF(D85&lt;4,"Error: weight of pitch battery too low. Re-check",IF(D85&gt;12,"Error: weight of pitch battery too high.  Re-check.","")))</f>
        <v/>
      </c>
      <c r="H85"/>
    </row>
    <row r="86" spans="2:8" ht="26.25" customHeight="1" x14ac:dyDescent="0.25">
      <c r="B86" s="399" t="s">
        <v>130</v>
      </c>
      <c r="C86" s="400"/>
      <c r="D86" s="102">
        <v>1</v>
      </c>
      <c r="E86" s="70" t="s">
        <v>21</v>
      </c>
      <c r="F86" s="99" t="str">
        <f>IF(D86=1,"","Error: range of pitch battery is usually +/- 1 inch")</f>
        <v/>
      </c>
      <c r="H86"/>
    </row>
    <row r="87" spans="2:8" ht="15.75" customHeight="1" x14ac:dyDescent="0.25">
      <c r="B87" s="389" t="s">
        <v>15</v>
      </c>
      <c r="C87" s="390"/>
      <c r="D87" s="103" t="e">
        <f>DEGREES(ATAN((D85*25.4*D86/D31)/D83))</f>
        <v>#DIV/0!</v>
      </c>
      <c r="E87" s="70" t="s">
        <v>26</v>
      </c>
      <c r="F87" s="101"/>
      <c r="H87"/>
    </row>
    <row r="88" spans="2:8" ht="15.75" customHeight="1" x14ac:dyDescent="0.25">
      <c r="B88" s="110"/>
      <c r="C88" s="110"/>
      <c r="D88" s="110"/>
      <c r="E88" s="110"/>
      <c r="F88" s="101"/>
      <c r="H88"/>
    </row>
    <row r="89" spans="2:8" ht="15.75" customHeight="1" x14ac:dyDescent="0.25">
      <c r="B89" s="110"/>
      <c r="C89" s="110"/>
      <c r="D89" s="110"/>
      <c r="E89" s="110"/>
      <c r="F89" s="101"/>
      <c r="H89"/>
    </row>
    <row r="90" spans="2:8" ht="15.75" customHeight="1" x14ac:dyDescent="0.25">
      <c r="B90" s="110"/>
      <c r="C90" s="110"/>
      <c r="D90" s="110"/>
      <c r="E90" s="110"/>
      <c r="F90" s="101"/>
      <c r="H90"/>
    </row>
    <row r="91" spans="2:8" ht="15.75" customHeight="1" x14ac:dyDescent="0.25">
      <c r="B91" s="110"/>
      <c r="C91" s="110"/>
      <c r="D91" s="110"/>
      <c r="E91" s="110"/>
      <c r="F91" s="101"/>
      <c r="H91"/>
    </row>
    <row r="92" spans="2:8" ht="15.75" customHeight="1" x14ac:dyDescent="0.25">
      <c r="B92" s="110"/>
      <c r="C92" s="110"/>
      <c r="D92" s="110"/>
      <c r="E92" s="110"/>
      <c r="F92" s="101"/>
      <c r="H92"/>
    </row>
    <row r="93" spans="2:8" ht="15.75" customHeight="1" x14ac:dyDescent="0.25">
      <c r="B93" s="107" t="s">
        <v>149</v>
      </c>
      <c r="F93" s="101"/>
      <c r="H93"/>
    </row>
    <row r="94" spans="2:8" ht="5.4" customHeight="1" x14ac:dyDescent="0.25">
      <c r="F94" s="101"/>
      <c r="H94"/>
    </row>
    <row r="95" spans="2:8" ht="15.75" customHeight="1" x14ac:dyDescent="0.25">
      <c r="B95" s="70" t="s">
        <v>73</v>
      </c>
      <c r="F95" s="101"/>
      <c r="H95"/>
    </row>
    <row r="96" spans="2:8" ht="15.75" customHeight="1" x14ac:dyDescent="0.25">
      <c r="B96" s="70" t="s">
        <v>17</v>
      </c>
      <c r="F96" s="101"/>
      <c r="H96"/>
    </row>
    <row r="97" spans="2:8" ht="15.75" customHeight="1" x14ac:dyDescent="0.25">
      <c r="B97" s="70" t="s">
        <v>71</v>
      </c>
      <c r="F97" s="101"/>
      <c r="H97"/>
    </row>
    <row r="98" spans="2:8" ht="15.75" customHeight="1" x14ac:dyDescent="0.25">
      <c r="B98" s="70" t="s">
        <v>18</v>
      </c>
      <c r="F98" s="101"/>
      <c r="H98"/>
    </row>
    <row r="99" spans="2:8" ht="5.4" customHeight="1" x14ac:dyDescent="0.25">
      <c r="F99" s="101"/>
      <c r="H99"/>
    </row>
    <row r="100" spans="2:8" ht="15.75" customHeight="1" x14ac:dyDescent="0.25">
      <c r="B100" s="389" t="s">
        <v>226</v>
      </c>
      <c r="C100" s="390"/>
      <c r="D100" s="177">
        <f>E51</f>
        <v>0</v>
      </c>
      <c r="E100" s="70" t="s">
        <v>19</v>
      </c>
      <c r="F100" s="99" t="str">
        <f>IF(D100=0,"",IF(D100&lt;4,"Error: weight of pitch battery too low. Re-check",IF(D100&gt;12,"Error: weight of pitch battery too high.  Re-check.","")))</f>
        <v/>
      </c>
      <c r="H100"/>
    </row>
    <row r="101" spans="2:8" ht="15.75" customHeight="1" x14ac:dyDescent="0.25">
      <c r="B101" s="389" t="s">
        <v>22</v>
      </c>
      <c r="C101" s="390"/>
      <c r="D101" s="108">
        <v>0</v>
      </c>
      <c r="E101" s="70" t="s">
        <v>20</v>
      </c>
      <c r="F101" s="99" t="str">
        <f>IF(ABS(D101&lt;1.25),"","Error: starting pitch too high.  Re-check.")</f>
        <v/>
      </c>
      <c r="H101"/>
    </row>
    <row r="102" spans="2:8" ht="15.75" customHeight="1" x14ac:dyDescent="0.25">
      <c r="B102" s="389" t="s">
        <v>23</v>
      </c>
      <c r="C102" s="390"/>
      <c r="D102" s="108">
        <v>0</v>
      </c>
      <c r="E102" s="70" t="s">
        <v>21</v>
      </c>
      <c r="F102" s="99" t="str">
        <f>IF(ABS(D102)&gt;1.1,"Error, battery position out of range","")</f>
        <v/>
      </c>
      <c r="H102"/>
    </row>
    <row r="103" spans="2:8" ht="15.75" customHeight="1" x14ac:dyDescent="0.25">
      <c r="B103" s="389" t="s">
        <v>24</v>
      </c>
      <c r="C103" s="390"/>
      <c r="D103" s="108">
        <v>0</v>
      </c>
      <c r="E103" s="70" t="s">
        <v>20</v>
      </c>
      <c r="F103" s="99" t="str">
        <f>IF(ABS(D103&lt;1.25),"","Error: starting pitch too high.  Re-check.")</f>
        <v/>
      </c>
      <c r="H103"/>
    </row>
    <row r="104" spans="2:8" ht="15.75" customHeight="1" x14ac:dyDescent="0.25">
      <c r="B104" s="389" t="s">
        <v>25</v>
      </c>
      <c r="C104" s="390"/>
      <c r="D104" s="108">
        <v>0</v>
      </c>
      <c r="E104" s="70" t="s">
        <v>21</v>
      </c>
      <c r="F104" s="99" t="str">
        <f>IF(ABS(D104)&gt;1.1,"Error, battery position out of range","")</f>
        <v/>
      </c>
      <c r="H104"/>
    </row>
    <row r="105" spans="2:8" ht="15.75" customHeight="1" x14ac:dyDescent="0.25">
      <c r="B105" s="84"/>
      <c r="C105" s="53"/>
      <c r="F105" s="101"/>
      <c r="H105"/>
    </row>
    <row r="106" spans="2:8" ht="15.75" customHeight="1" x14ac:dyDescent="0.25">
      <c r="B106" s="389" t="s">
        <v>37</v>
      </c>
      <c r="C106" s="389"/>
      <c r="D106" s="176" t="e">
        <f>ABS(1000*25.4*(D102-D104)*(D100+0.1)/(D36*D45*TAN(D101-D103)))</f>
        <v>#DIV/0!</v>
      </c>
      <c r="E106" s="93" t="s">
        <v>13</v>
      </c>
      <c r="F106" s="101"/>
      <c r="H106"/>
    </row>
    <row r="107" spans="2:8" ht="8.25" customHeight="1" x14ac:dyDescent="0.25">
      <c r="B107" s="84"/>
      <c r="C107" s="53"/>
      <c r="F107" s="101"/>
      <c r="H107"/>
    </row>
    <row r="108" spans="2:8" ht="26.25" customHeight="1" x14ac:dyDescent="0.25">
      <c r="B108" s="399" t="s">
        <v>130</v>
      </c>
      <c r="C108" s="399"/>
      <c r="D108" s="102">
        <v>1</v>
      </c>
      <c r="E108" s="70" t="s">
        <v>21</v>
      </c>
      <c r="F108" s="99" t="str">
        <f>IF(D108=1,"","Error: range of pitch battery is usually +/- 1 inch")</f>
        <v/>
      </c>
      <c r="H108"/>
    </row>
    <row r="109" spans="2:8" ht="15.75" customHeight="1" x14ac:dyDescent="0.25">
      <c r="B109" s="389" t="s">
        <v>15</v>
      </c>
      <c r="C109" s="389"/>
      <c r="D109" s="103" t="e">
        <f>DEGREES(ATAN((D108*25.4*D100/D31)/D106))</f>
        <v>#DIV/0!</v>
      </c>
      <c r="E109" s="70" t="s">
        <v>26</v>
      </c>
      <c r="H109"/>
    </row>
    <row r="110" spans="2:8" ht="15.75" customHeight="1" x14ac:dyDescent="0.25">
      <c r="B110"/>
      <c r="C110"/>
      <c r="D110"/>
      <c r="E110" s="77"/>
      <c r="F110" s="242"/>
      <c r="G110" s="77"/>
      <c r="H110" s="241"/>
    </row>
    <row r="111" spans="2:8" ht="15.75" customHeight="1" thickBot="1" x14ac:dyDescent="0.3">
      <c r="B111"/>
      <c r="C111"/>
      <c r="D111"/>
      <c r="E111" s="77" t="s">
        <v>131</v>
      </c>
      <c r="F111" s="136"/>
      <c r="G111" s="77" t="s">
        <v>1</v>
      </c>
      <c r="H111" s="137"/>
    </row>
    <row r="112" spans="2:8" x14ac:dyDescent="0.25">
      <c r="B112"/>
      <c r="C112"/>
      <c r="D112"/>
    </row>
    <row r="113" spans="2:9" x14ac:dyDescent="0.25">
      <c r="B113"/>
      <c r="C113"/>
      <c r="D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ht="13.8" thickBot="1" x14ac:dyDescent="0.3">
      <c r="C117"/>
      <c r="D117"/>
      <c r="F117"/>
      <c r="G117"/>
      <c r="H117"/>
      <c r="I117"/>
    </row>
    <row r="118" spans="2:9" ht="13.8" thickBot="1" x14ac:dyDescent="0.3">
      <c r="B118" s="416" t="s">
        <v>257</v>
      </c>
      <c r="C118" s="417"/>
      <c r="D118" s="418"/>
      <c r="E118"/>
      <c r="F118"/>
      <c r="G118"/>
      <c r="H118"/>
      <c r="I118"/>
    </row>
    <row r="119" spans="2:9" ht="13.8" thickBot="1" x14ac:dyDescent="0.3">
      <c r="B119" s="419"/>
      <c r="C119" s="420"/>
      <c r="D119" s="274" t="s">
        <v>244</v>
      </c>
      <c r="E119"/>
      <c r="F119"/>
      <c r="G119"/>
      <c r="H119"/>
      <c r="I119"/>
    </row>
    <row r="120" spans="2:9" x14ac:dyDescent="0.25">
      <c r="B120" s="421" t="s">
        <v>240</v>
      </c>
      <c r="C120" s="370" t="s">
        <v>238</v>
      </c>
      <c r="D120" s="368"/>
      <c r="E120"/>
      <c r="F120"/>
      <c r="G120"/>
      <c r="H120"/>
      <c r="I120"/>
    </row>
    <row r="121" spans="2:9" x14ac:dyDescent="0.25">
      <c r="B121" s="422"/>
      <c r="C121" s="371" t="s">
        <v>227</v>
      </c>
      <c r="D121" s="368"/>
      <c r="E121"/>
      <c r="F121"/>
      <c r="G121"/>
      <c r="H121"/>
      <c r="I121"/>
    </row>
    <row r="122" spans="2:9" x14ac:dyDescent="0.25">
      <c r="B122" s="422"/>
      <c r="C122" s="371" t="s">
        <v>237</v>
      </c>
      <c r="D122" s="368"/>
      <c r="E122"/>
      <c r="F122"/>
      <c r="G122"/>
      <c r="H122"/>
      <c r="I122"/>
    </row>
    <row r="123" spans="2:9" x14ac:dyDescent="0.25">
      <c r="B123" s="422"/>
      <c r="C123" s="371" t="s">
        <v>228</v>
      </c>
      <c r="D123" s="368"/>
      <c r="E123"/>
      <c r="F123"/>
      <c r="G123" s="261"/>
      <c r="H123" s="267"/>
      <c r="I123"/>
    </row>
    <row r="124" spans="2:9" x14ac:dyDescent="0.25">
      <c r="B124" s="422"/>
      <c r="C124" s="371" t="s">
        <v>229</v>
      </c>
      <c r="D124" s="368"/>
      <c r="E124"/>
      <c r="F124"/>
      <c r="G124" s="261"/>
      <c r="H124" s="266"/>
      <c r="I124"/>
    </row>
    <row r="125" spans="2:9" x14ac:dyDescent="0.25">
      <c r="B125" s="422"/>
      <c r="C125" s="371" t="s">
        <v>239</v>
      </c>
      <c r="D125" s="368"/>
      <c r="E125"/>
      <c r="F125"/>
      <c r="G125"/>
      <c r="H125"/>
      <c r="I125"/>
    </row>
    <row r="126" spans="2:9" x14ac:dyDescent="0.25">
      <c r="B126" s="422"/>
      <c r="C126" s="371" t="s">
        <v>230</v>
      </c>
      <c r="D126" s="368"/>
      <c r="E126"/>
      <c r="F126"/>
      <c r="G126"/>
      <c r="H126"/>
      <c r="I126"/>
    </row>
    <row r="127" spans="2:9" x14ac:dyDescent="0.25">
      <c r="B127" s="422"/>
      <c r="C127" s="371" t="s">
        <v>231</v>
      </c>
      <c r="D127" s="368"/>
      <c r="E127"/>
      <c r="F127"/>
      <c r="G127"/>
      <c r="H127"/>
      <c r="I127"/>
    </row>
    <row r="128" spans="2:9" x14ac:dyDescent="0.25">
      <c r="B128" s="422"/>
      <c r="C128" s="371" t="s">
        <v>232</v>
      </c>
      <c r="D128" s="368"/>
      <c r="E128"/>
      <c r="F128"/>
      <c r="G128"/>
      <c r="H128"/>
      <c r="I128"/>
    </row>
    <row r="129" spans="2:9" x14ac:dyDescent="0.25">
      <c r="B129" s="422"/>
      <c r="C129" s="371" t="s">
        <v>233</v>
      </c>
      <c r="D129" s="368"/>
      <c r="E129"/>
      <c r="F129"/>
      <c r="G129"/>
      <c r="H129"/>
      <c r="I129"/>
    </row>
    <row r="130" spans="2:9" x14ac:dyDescent="0.25">
      <c r="B130" s="422"/>
      <c r="C130" s="371" t="s">
        <v>234</v>
      </c>
      <c r="D130" s="368"/>
      <c r="E130"/>
      <c r="F130"/>
      <c r="G130"/>
      <c r="H130"/>
      <c r="I130"/>
    </row>
    <row r="131" spans="2:9" x14ac:dyDescent="0.25">
      <c r="B131" s="422"/>
      <c r="C131" s="371" t="s">
        <v>235</v>
      </c>
      <c r="D131" s="368"/>
      <c r="E131"/>
      <c r="F131"/>
      <c r="G131"/>
      <c r="H131"/>
      <c r="I131"/>
    </row>
    <row r="132" spans="2:9" x14ac:dyDescent="0.25">
      <c r="B132" s="422"/>
      <c r="C132" s="371" t="s">
        <v>236</v>
      </c>
      <c r="D132" s="368"/>
      <c r="E132"/>
      <c r="F132"/>
      <c r="G132"/>
      <c r="H132"/>
      <c r="I132"/>
    </row>
    <row r="133" spans="2:9" ht="13.8" thickBot="1" x14ac:dyDescent="0.3">
      <c r="B133" s="423"/>
      <c r="C133" s="372" t="s">
        <v>247</v>
      </c>
      <c r="D133" s="369"/>
      <c r="E133"/>
      <c r="F133"/>
      <c r="G133"/>
      <c r="H133"/>
      <c r="I133"/>
    </row>
    <row r="134" spans="2:9" ht="13.8" thickBot="1" x14ac:dyDescent="0.3">
      <c r="B134" s="374"/>
      <c r="C134" s="373" t="s">
        <v>241</v>
      </c>
      <c r="D134" s="271"/>
      <c r="E134" s="272" t="s">
        <v>246</v>
      </c>
      <c r="F134"/>
      <c r="G134"/>
      <c r="H134"/>
      <c r="I134"/>
    </row>
    <row r="135" spans="2:9" ht="14.4" thickTop="1" thickBot="1" x14ac:dyDescent="0.3">
      <c r="B135" s="387"/>
      <c r="C135" s="375" t="s">
        <v>243</v>
      </c>
      <c r="D135" s="376">
        <f>SUM(D120:D133)/1000</f>
        <v>0</v>
      </c>
      <c r="E135"/>
      <c r="F135"/>
      <c r="G135"/>
      <c r="H135"/>
      <c r="I135"/>
    </row>
    <row r="136" spans="2:9" ht="13.8" thickBot="1" x14ac:dyDescent="0.3">
      <c r="B136" s="388"/>
      <c r="C136" s="273" t="s">
        <v>242</v>
      </c>
      <c r="D136" s="367">
        <f>((D135*1000)-D134)/D45</f>
        <v>0</v>
      </c>
      <c r="E136"/>
      <c r="F136" s="262"/>
      <c r="G136"/>
      <c r="H136"/>
      <c r="I136"/>
    </row>
    <row r="137" spans="2:9" x14ac:dyDescent="0.25">
      <c r="C137"/>
      <c r="D137"/>
      <c r="E137" s="264" t="str">
        <f>IF(D45&lt;700,"Please Input Tank Density","")</f>
        <v/>
      </c>
      <c r="F137"/>
      <c r="G137"/>
      <c r="H137"/>
      <c r="I137"/>
    </row>
    <row r="138" spans="2:9" x14ac:dyDescent="0.25">
      <c r="B138" s="86"/>
      <c r="C138"/>
      <c r="D138"/>
      <c r="E138"/>
      <c r="F138"/>
      <c r="G138"/>
      <c r="H138"/>
      <c r="I138"/>
    </row>
    <row r="139" spans="2:9" x14ac:dyDescent="0.25">
      <c r="B139"/>
      <c r="C139"/>
      <c r="D139"/>
      <c r="E139"/>
      <c r="F139"/>
      <c r="G139"/>
      <c r="H139"/>
      <c r="I139"/>
    </row>
  </sheetData>
  <dataConsolidate/>
  <mergeCells count="64">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 ref="B19:B29"/>
    <mergeCell ref="F9:I9"/>
    <mergeCell ref="B9:E9"/>
    <mergeCell ref="B16:C16"/>
    <mergeCell ref="B17:C17"/>
    <mergeCell ref="B18:C18"/>
    <mergeCell ref="B15:C15"/>
    <mergeCell ref="B12:I12"/>
    <mergeCell ref="B11:I11"/>
    <mergeCell ref="B13:I13"/>
    <mergeCell ref="E28:F28"/>
    <mergeCell ref="B86:C86"/>
    <mergeCell ref="E50:F50"/>
    <mergeCell ref="B50:C50"/>
    <mergeCell ref="B51:C51"/>
    <mergeCell ref="B53:C53"/>
    <mergeCell ref="B54:C54"/>
    <mergeCell ref="E51:F51"/>
    <mergeCell ref="E53:F53"/>
    <mergeCell ref="E54:F54"/>
    <mergeCell ref="B32:C32"/>
    <mergeCell ref="B64:H64"/>
    <mergeCell ref="B65:H65"/>
    <mergeCell ref="B56:I56"/>
    <mergeCell ref="B35:C36"/>
    <mergeCell ref="B39:C39"/>
    <mergeCell ref="B49:C49"/>
    <mergeCell ref="B42:C42"/>
    <mergeCell ref="B44:C44"/>
    <mergeCell ref="B45:C45"/>
    <mergeCell ref="B47:C47"/>
    <mergeCell ref="B48:C48"/>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xr:uid="{00000000-0002-0000-0000-000000000000}">
      <formula1>battery_type</formula1>
    </dataValidation>
    <dataValidation type="list" allowBlank="1" showInputMessage="1" promptTitle="Select Aft Configuration" prompt="from drop-down menu" sqref="D53" xr:uid="{00000000-0002-0000-0000-000001000000}">
      <formula1>aft_config</formula1>
    </dataValidation>
    <dataValidation type="list" allowBlank="1" showInputMessage="1" promptTitle="Select Nose Configuration" prompt="from drop-down menu" sqref="D54" xr:uid="{00000000-0002-0000-0000-000002000000}">
      <formula1>nose_config</formula1>
    </dataValidation>
    <dataValidation type="list" allowBlank="1" showInputMessage="1" showErrorMessage="1" promptTitle="Select Weight Material" prompt="from the drop-down menu" sqref="D47" xr:uid="{00000000-0002-0000-0000-000003000000}">
      <formula1>weight_type</formula1>
    </dataValidation>
    <dataValidation allowBlank="1" showInputMessage="1" promptTitle="Select Pond Wings" prompt="from drop-down menu" sqref="D28" xr:uid="{00000000-0002-0000-0000-000004000000}"/>
  </dataValidations>
  <pageMargins left="0.75" right="0.25" top="0.25" bottom="0.75" header="0.3" footer="0.3"/>
  <pageSetup scale="59" orientation="portrait" horizontalDpi="1200" verticalDpi="1200" r:id="rId1"/>
  <headerFooter alignWithMargins="0">
    <oddHeader>&amp;C&amp;F</oddHeader>
    <oddFooter>&amp;L&amp;1#&amp;"Calibri,Regular"&amp;10&amp;K000000Teledyne Confidential; Commercially Sensitive Business Data&amp;C&amp;A&amp;R&amp;P</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1021080</xdr:colOff>
                    <xdr:row>22</xdr:row>
                    <xdr:rowOff>76200</xdr:rowOff>
                  </from>
                  <to>
                    <xdr:col>3</xdr:col>
                    <xdr:colOff>1226820</xdr:colOff>
                    <xdr:row>22</xdr:row>
                    <xdr:rowOff>251460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1021080</xdr:colOff>
                    <xdr:row>23</xdr:row>
                    <xdr:rowOff>76200</xdr:rowOff>
                  </from>
                  <to>
                    <xdr:col>3</xdr:col>
                    <xdr:colOff>1226820</xdr:colOff>
                    <xdr:row>23</xdr:row>
                    <xdr:rowOff>251460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1013460</xdr:colOff>
                    <xdr:row>24</xdr:row>
                    <xdr:rowOff>99060</xdr:rowOff>
                  </from>
                  <to>
                    <xdr:col>3</xdr:col>
                    <xdr:colOff>1219200</xdr:colOff>
                    <xdr:row>24</xdr:row>
                    <xdr:rowOff>251460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1013460</xdr:colOff>
                    <xdr:row>28</xdr:row>
                    <xdr:rowOff>22860</xdr:rowOff>
                  </from>
                  <to>
                    <xdr:col>3</xdr:col>
                    <xdr:colOff>1219200</xdr:colOff>
                    <xdr:row>29</xdr:row>
                    <xdr:rowOff>45720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60960</xdr:rowOff>
                  </from>
                  <to>
                    <xdr:col>3</xdr:col>
                    <xdr:colOff>571500</xdr:colOff>
                    <xdr:row>27</xdr:row>
                    <xdr:rowOff>289560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1280160</xdr:colOff>
                    <xdr:row>27</xdr:row>
                    <xdr:rowOff>60960</xdr:rowOff>
                  </from>
                  <to>
                    <xdr:col>3</xdr:col>
                    <xdr:colOff>1584960</xdr:colOff>
                    <xdr:row>27</xdr:row>
                    <xdr:rowOff>289560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998220</xdr:colOff>
                    <xdr:row>25</xdr:row>
                    <xdr:rowOff>60960</xdr:rowOff>
                  </from>
                  <to>
                    <xdr:col>3</xdr:col>
                    <xdr:colOff>1950720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8000000}">
          <x14:formula1>
            <xm:f>Constants!$B$66:$B$70</xm:f>
          </x14:formula1>
          <xm:sqref>D19</xm:sqref>
        </x14:dataValidation>
        <x14:dataValidation type="list" allowBlank="1" showInputMessage="1" showErrorMessage="1" xr:uid="{00000000-0002-0000-0000-00000A000000}">
          <x14:formula1>
            <xm:f>Constants!$B$65:$B$69</xm:f>
          </x14:formula1>
          <xm:sqref>D20</xm:sqref>
        </x14:dataValidation>
        <x14:dataValidation type="list" allowBlank="1" showInputMessage="1" showErrorMessage="1" xr:uid="{00000000-0002-0000-0000-00000B000000}">
          <x14:formula1>
            <xm:f>Constants!$B$72:$B$78</xm:f>
          </x14:formula1>
          <xm:sqref>D22</xm:sqref>
        </x14:dataValidation>
        <x14:dataValidation type="list" allowBlank="1" showInputMessage="1" showErrorMessage="1" xr:uid="{00000000-0002-0000-0000-00000C000000}">
          <x14:formula1>
            <xm:f>Constants!$B$72:$B$76</xm:f>
          </x14:formula1>
          <xm:sqref>D21</xm:sqref>
        </x14:dataValidation>
        <x14:dataValidation type="list" allowBlank="1" showInputMessage="1" showErrorMessage="1" xr:uid="{00000000-0002-0000-0000-000005000000}">
          <x14:formula1>
            <xm:f>Constants!$F$11:$F$12</xm:f>
          </x14:formula1>
          <xm:sqref>D52</xm:sqref>
        </x14:dataValidation>
        <x14:dataValidation type="list" allowBlank="1" showInputMessage="1" showErrorMessage="1" promptTitle="Volume Calculation Method" prompt="Please select your perfered volume calculation method." xr:uid="{00000000-0002-0000-0000-000006000000}">
          <x14:formula1>
            <xm:f>Constants!$N$11:$N$12</xm:f>
          </x14:formula1>
          <xm:sqref>D35</xm:sqref>
        </x14:dataValidation>
        <x14:dataValidation type="list" allowBlank="1" showInputMessage="1" showErrorMessage="1" xr:uid="{00000000-0002-0000-0000-000007000000}">
          <x14:formula1>
            <xm:f>Constants!$K$11:$K$16</xm:f>
          </x14:formula1>
          <xm:sqref>D27</xm:sqref>
        </x14:dataValidation>
        <x14:dataValidation type="list" allowBlank="1" showInputMessage="1" promptTitle="Select Glider Type" prompt="from drop-down menu" xr:uid="{00000000-0002-0000-0000-000009000000}">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S112"/>
  <sheetViews>
    <sheetView view="pageBreakPreview" zoomScale="60" zoomScaleNormal="80" workbookViewId="0">
      <selection activeCell="H122" sqref="H122"/>
    </sheetView>
  </sheetViews>
  <sheetFormatPr defaultColWidth="9.109375" defaultRowHeight="13.2" x14ac:dyDescent="0.25"/>
  <cols>
    <col min="1" max="1" width="4.5546875" style="70" customWidth="1"/>
    <col min="2" max="2" width="41.33203125" style="70" customWidth="1"/>
    <col min="3" max="3" width="22.5546875" style="70" bestFit="1" customWidth="1"/>
    <col min="4" max="4" width="24.109375" style="70" customWidth="1"/>
    <col min="5" max="5" width="20.6640625" style="70" customWidth="1"/>
    <col min="6" max="6" width="23.109375" style="70" customWidth="1"/>
    <col min="7" max="7" width="22.6640625" style="70" customWidth="1"/>
    <col min="8" max="8" width="29.88671875" style="70" customWidth="1"/>
    <col min="9" max="9" width="14.88671875" style="70" bestFit="1" customWidth="1"/>
    <col min="10" max="10" width="22.5546875" style="70" bestFit="1" customWidth="1"/>
    <col min="11" max="11" width="10.5546875" style="70" bestFit="1" customWidth="1"/>
    <col min="12" max="12" width="24.44140625" style="70" bestFit="1" customWidth="1"/>
    <col min="13" max="13" width="11.109375" style="70" bestFit="1" customWidth="1"/>
    <col min="14" max="14" width="15.88671875" style="70" bestFit="1" customWidth="1"/>
    <col min="15" max="15" width="15.5546875" style="70" bestFit="1" customWidth="1"/>
    <col min="16" max="17" width="15.88671875" style="70" bestFit="1" customWidth="1"/>
    <col min="18" max="18" width="16.6640625" style="70" bestFit="1" customWidth="1"/>
    <col min="19" max="19" width="15.6640625" style="70" bestFit="1" customWidth="1"/>
    <col min="20" max="16384" width="9.109375" style="70"/>
  </cols>
  <sheetData>
    <row r="1" spans="1:19" customFormat="1" ht="15.6" customHeight="1" x14ac:dyDescent="0.25">
      <c r="C1" s="70"/>
      <c r="D1" s="70"/>
      <c r="E1" s="70"/>
      <c r="F1" s="70"/>
      <c r="G1" s="128" t="s">
        <v>145</v>
      </c>
      <c r="H1" s="129" t="str">
        <f>Ballast!$I$1</f>
        <v>4095-GBPSH</v>
      </c>
      <c r="I1" s="70"/>
      <c r="J1" s="70"/>
    </row>
    <row r="2" spans="1:19" customFormat="1" ht="15.75" customHeight="1" x14ac:dyDescent="0.25">
      <c r="C2" s="70"/>
      <c r="D2" s="70"/>
      <c r="E2" s="70"/>
      <c r="F2" s="115"/>
      <c r="G2" s="130" t="s">
        <v>146</v>
      </c>
      <c r="H2" s="131" t="str">
        <f>Ballast!$I$2</f>
        <v>H</v>
      </c>
      <c r="I2" s="70"/>
      <c r="J2" s="70"/>
    </row>
    <row r="3" spans="1:19" customFormat="1" ht="15.75" customHeight="1" x14ac:dyDescent="0.25">
      <c r="C3" s="70"/>
      <c r="D3" s="70"/>
      <c r="E3" s="70"/>
      <c r="F3" s="115"/>
      <c r="G3" s="130" t="s">
        <v>1</v>
      </c>
      <c r="H3" s="132">
        <f>Ballast!$I$3</f>
        <v>44888</v>
      </c>
      <c r="I3" s="70"/>
      <c r="J3" s="70"/>
    </row>
    <row r="4" spans="1:19" customFormat="1" ht="15.75" customHeight="1" thickBot="1" x14ac:dyDescent="0.3">
      <c r="C4" s="70"/>
      <c r="D4" s="70"/>
      <c r="E4" s="70"/>
      <c r="F4" s="107"/>
      <c r="G4" s="133" t="s">
        <v>147</v>
      </c>
      <c r="H4" s="134">
        <f>Ballast!$I$4</f>
        <v>14841</v>
      </c>
      <c r="I4" s="70"/>
      <c r="J4" s="70"/>
      <c r="K4" s="70"/>
    </row>
    <row r="5" spans="1:19" customFormat="1" ht="9" customHeight="1" thickBot="1" x14ac:dyDescent="0.3">
      <c r="A5" s="124"/>
      <c r="B5" s="124"/>
      <c r="C5" s="124"/>
      <c r="D5" s="124"/>
      <c r="E5" s="124"/>
      <c r="F5" s="124"/>
      <c r="G5" s="124"/>
      <c r="H5" s="124"/>
      <c r="I5" s="124"/>
      <c r="J5" s="124"/>
      <c r="K5" s="124"/>
    </row>
    <row r="6" spans="1:19" ht="13.8" thickTop="1" x14ac:dyDescent="0.25"/>
    <row r="10" spans="1:19" s="344" customFormat="1" ht="43.2" customHeight="1" thickBot="1" x14ac:dyDescent="0.3">
      <c r="B10" s="345" t="s">
        <v>97</v>
      </c>
      <c r="C10" s="294" t="s">
        <v>321</v>
      </c>
      <c r="D10" s="294" t="s">
        <v>123</v>
      </c>
      <c r="E10" s="294" t="s">
        <v>132</v>
      </c>
      <c r="F10" s="294" t="s">
        <v>171</v>
      </c>
      <c r="G10" s="294" t="s">
        <v>323</v>
      </c>
      <c r="H10" s="294" t="s">
        <v>140</v>
      </c>
      <c r="I10" s="294" t="s">
        <v>189</v>
      </c>
      <c r="J10" s="294" t="s">
        <v>324</v>
      </c>
      <c r="K10" s="70"/>
      <c r="L10" s="70"/>
      <c r="M10" s="70"/>
      <c r="N10" s="70"/>
      <c r="O10" s="70"/>
      <c r="P10" s="70"/>
      <c r="Q10" s="70"/>
      <c r="R10" s="70"/>
      <c r="S10" s="70"/>
    </row>
    <row r="11" spans="1:19" ht="24.75" customHeight="1" x14ac:dyDescent="0.25">
      <c r="B11" s="289" t="s">
        <v>98</v>
      </c>
      <c r="C11" s="290">
        <f>52-E42</f>
        <v>42.521313916282672</v>
      </c>
      <c r="D11" s="291" t="s">
        <v>124</v>
      </c>
      <c r="E11" s="291" t="s">
        <v>133</v>
      </c>
      <c r="F11" s="291" t="s">
        <v>150</v>
      </c>
      <c r="G11" s="291" t="s">
        <v>137</v>
      </c>
      <c r="H11" s="291" t="s">
        <v>141</v>
      </c>
      <c r="I11" s="292" t="s">
        <v>190</v>
      </c>
      <c r="J11" s="292">
        <v>1.6</v>
      </c>
      <c r="M11" s="70" t="b">
        <v>1</v>
      </c>
    </row>
    <row r="12" spans="1:19" ht="30" customHeight="1" x14ac:dyDescent="0.25">
      <c r="B12" s="71" t="s">
        <v>99</v>
      </c>
      <c r="C12" s="85">
        <f>55.2-E44</f>
        <v>44.940789587109478</v>
      </c>
      <c r="D12" s="111" t="s">
        <v>125</v>
      </c>
      <c r="E12" s="111" t="s">
        <v>134</v>
      </c>
      <c r="F12" s="187" t="s">
        <v>172</v>
      </c>
      <c r="G12" s="111" t="s">
        <v>138</v>
      </c>
      <c r="H12" s="111" t="s">
        <v>142</v>
      </c>
      <c r="I12" s="253" t="s">
        <v>191</v>
      </c>
      <c r="J12" s="253">
        <v>1.5</v>
      </c>
    </row>
    <row r="13" spans="1:19" ht="24.75" customHeight="1" x14ac:dyDescent="0.25">
      <c r="B13" s="71" t="s">
        <v>151</v>
      </c>
      <c r="C13" s="307">
        <f>56.3-E42-E66*2</f>
        <v>8.2662241169817179</v>
      </c>
      <c r="D13" s="111"/>
      <c r="E13" s="111" t="s">
        <v>135</v>
      </c>
      <c r="F13" s="111"/>
      <c r="G13" s="111" t="s">
        <v>139</v>
      </c>
      <c r="H13" s="111"/>
      <c r="I13" s="253" t="s">
        <v>192</v>
      </c>
      <c r="J13" s="253">
        <v>2</v>
      </c>
    </row>
    <row r="14" spans="1:19" ht="24.75" customHeight="1" x14ac:dyDescent="0.25">
      <c r="B14" s="71" t="s">
        <v>100</v>
      </c>
      <c r="C14" s="307">
        <f>56.3-E73-E66*2</f>
        <v>7.3879930219714751</v>
      </c>
      <c r="D14" s="71"/>
      <c r="E14" s="111" t="s">
        <v>136</v>
      </c>
      <c r="F14" s="111"/>
      <c r="G14" s="111" t="s">
        <v>174</v>
      </c>
      <c r="H14" s="71"/>
      <c r="I14" s="253" t="s">
        <v>193</v>
      </c>
      <c r="J14" s="253">
        <v>2.2999999999999998</v>
      </c>
    </row>
    <row r="15" spans="1:19" ht="24.75" customHeight="1" x14ac:dyDescent="0.25">
      <c r="B15" s="111" t="s">
        <v>299</v>
      </c>
      <c r="C15" s="307">
        <f>10.51-0.21</f>
        <v>10.299999999999999</v>
      </c>
      <c r="D15" s="357" t="s">
        <v>296</v>
      </c>
      <c r="E15" s="111" t="s">
        <v>173</v>
      </c>
      <c r="F15" s="111"/>
      <c r="G15" s="111"/>
      <c r="H15" s="111"/>
      <c r="I15" s="71"/>
      <c r="J15" s="71"/>
    </row>
    <row r="16" spans="1:19" ht="24.75" customHeight="1" x14ac:dyDescent="0.25">
      <c r="B16" s="300" t="s">
        <v>300</v>
      </c>
      <c r="C16" s="366">
        <f>C15+0.098</f>
        <v>10.398</v>
      </c>
      <c r="D16" s="71"/>
      <c r="E16" s="71"/>
      <c r="F16" s="71"/>
      <c r="G16" s="71"/>
      <c r="H16" s="71"/>
      <c r="I16" s="71"/>
      <c r="J16" s="71"/>
    </row>
    <row r="17" spans="2:11" ht="24.75" customHeight="1" x14ac:dyDescent="0.25">
      <c r="B17" s="111" t="s">
        <v>301</v>
      </c>
      <c r="C17" s="299">
        <f>C16</f>
        <v>10.398</v>
      </c>
      <c r="D17" s="301"/>
      <c r="E17" s="301"/>
      <c r="F17" s="301"/>
      <c r="G17" s="301"/>
      <c r="H17" s="301"/>
      <c r="I17" s="301"/>
      <c r="J17" s="301"/>
    </row>
    <row r="18" spans="2:11" ht="24.75" customHeight="1" x14ac:dyDescent="0.25">
      <c r="B18" s="111"/>
      <c r="C18" s="307"/>
      <c r="D18" s="71"/>
      <c r="E18" s="71"/>
      <c r="F18" s="71"/>
      <c r="G18" s="71"/>
      <c r="H18" s="71"/>
      <c r="I18" s="71"/>
      <c r="J18" s="71"/>
    </row>
    <row r="19" spans="2:11" ht="24.75" customHeight="1" x14ac:dyDescent="0.25"/>
    <row r="20" spans="2:11" ht="24.75" customHeight="1" x14ac:dyDescent="0.25"/>
    <row r="21" spans="2:11" ht="24.75" customHeight="1" thickBot="1" x14ac:dyDescent="0.3"/>
    <row r="22" spans="2:11" s="344" customFormat="1" ht="43.2" customHeight="1" thickBot="1" x14ac:dyDescent="0.3">
      <c r="B22" s="345" t="s">
        <v>97</v>
      </c>
      <c r="C22" s="294" t="s">
        <v>194</v>
      </c>
      <c r="D22" s="294" t="s">
        <v>195</v>
      </c>
      <c r="E22" s="294" t="s">
        <v>249</v>
      </c>
      <c r="F22" s="342" t="s">
        <v>259</v>
      </c>
      <c r="G22" s="343" t="s">
        <v>286</v>
      </c>
      <c r="H22" s="343" t="s">
        <v>287</v>
      </c>
      <c r="I22" s="343" t="s">
        <v>288</v>
      </c>
      <c r="J22" s="343" t="s">
        <v>297</v>
      </c>
      <c r="K22" s="343" t="s">
        <v>152</v>
      </c>
    </row>
    <row r="23" spans="2:11" ht="24.75" customHeight="1" x14ac:dyDescent="0.25">
      <c r="B23" s="289" t="s">
        <v>98</v>
      </c>
      <c r="C23" s="291" t="s">
        <v>251</v>
      </c>
      <c r="D23" s="289">
        <v>0</v>
      </c>
      <c r="E23" s="72" t="b">
        <v>0</v>
      </c>
      <c r="F23" s="275" t="s">
        <v>245</v>
      </c>
      <c r="G23" s="328" t="s">
        <v>285</v>
      </c>
      <c r="H23" s="328" t="s">
        <v>285</v>
      </c>
      <c r="I23" s="358" t="s">
        <v>285</v>
      </c>
      <c r="J23" s="72" t="b">
        <v>0</v>
      </c>
      <c r="K23" s="72" t="b">
        <v>0</v>
      </c>
    </row>
    <row r="24" spans="2:11" ht="30" customHeight="1" x14ac:dyDescent="0.25">
      <c r="B24" s="71" t="s">
        <v>99</v>
      </c>
      <c r="C24" s="111" t="s">
        <v>196</v>
      </c>
      <c r="D24" s="71">
        <v>0.43</v>
      </c>
      <c r="E24" s="327" t="s">
        <v>260</v>
      </c>
      <c r="F24" s="111" t="s">
        <v>258</v>
      </c>
      <c r="G24" s="304" t="s">
        <v>285</v>
      </c>
      <c r="H24" s="304" t="s">
        <v>285</v>
      </c>
      <c r="I24" s="359" t="s">
        <v>285</v>
      </c>
      <c r="J24" s="71"/>
      <c r="K24" s="71"/>
    </row>
    <row r="25" spans="2:11" ht="24.75" customHeight="1" x14ac:dyDescent="0.25">
      <c r="B25" s="71" t="s">
        <v>151</v>
      </c>
      <c r="C25" s="111" t="s">
        <v>197</v>
      </c>
      <c r="D25" s="71">
        <v>0.68</v>
      </c>
      <c r="E25" s="253" t="b">
        <v>0</v>
      </c>
      <c r="F25" s="71"/>
      <c r="G25" s="304">
        <v>2</v>
      </c>
      <c r="H25" s="310">
        <v>2.25</v>
      </c>
      <c r="I25" s="360">
        <v>2.75</v>
      </c>
      <c r="J25" s="71"/>
      <c r="K25" s="71"/>
    </row>
    <row r="26" spans="2:11" ht="24.75" customHeight="1" x14ac:dyDescent="0.25">
      <c r="B26" s="71" t="s">
        <v>100</v>
      </c>
      <c r="C26" s="111" t="s">
        <v>198</v>
      </c>
      <c r="D26" s="71">
        <v>0.43</v>
      </c>
      <c r="E26" s="304" t="s">
        <v>261</v>
      </c>
      <c r="F26" s="71"/>
      <c r="G26" s="304">
        <v>2.02</v>
      </c>
      <c r="H26" s="304" t="e">
        <v>#N/A</v>
      </c>
      <c r="I26" s="359">
        <v>3.25</v>
      </c>
      <c r="J26" s="71"/>
      <c r="K26" s="71"/>
    </row>
    <row r="27" spans="2:11" ht="24.75" customHeight="1" x14ac:dyDescent="0.25">
      <c r="B27" s="111" t="s">
        <v>299</v>
      </c>
      <c r="C27" s="111" t="s">
        <v>199</v>
      </c>
      <c r="D27" s="71">
        <v>0.43</v>
      </c>
      <c r="E27" s="71"/>
      <c r="F27" s="71"/>
      <c r="G27" s="304">
        <v>2.75</v>
      </c>
      <c r="H27" s="304">
        <v>1.5</v>
      </c>
      <c r="I27" s="359">
        <v>4</v>
      </c>
      <c r="J27" s="71"/>
      <c r="K27" s="71"/>
    </row>
    <row r="28" spans="2:11" ht="24.75" customHeight="1" x14ac:dyDescent="0.25">
      <c r="B28" s="300" t="s">
        <v>300</v>
      </c>
      <c r="C28" s="111" t="s">
        <v>250</v>
      </c>
      <c r="D28" s="111">
        <v>0.08</v>
      </c>
      <c r="E28" s="71"/>
      <c r="F28" s="71"/>
      <c r="G28" s="253">
        <v>2.7</v>
      </c>
      <c r="H28" s="253" t="e">
        <v>#N/A</v>
      </c>
      <c r="I28" s="361">
        <v>5.75</v>
      </c>
      <c r="J28" s="71"/>
      <c r="K28" s="71"/>
    </row>
    <row r="29" spans="2:11" ht="24.75" customHeight="1" x14ac:dyDescent="0.25">
      <c r="B29" s="111" t="s">
        <v>301</v>
      </c>
      <c r="C29" s="300"/>
      <c r="E29" s="301"/>
      <c r="F29" s="301"/>
      <c r="G29" s="253">
        <v>4.3600000000000003</v>
      </c>
      <c r="H29" s="304" t="e">
        <v>#N/A</v>
      </c>
      <c r="I29" s="359" t="s">
        <v>289</v>
      </c>
      <c r="J29" s="71"/>
      <c r="K29" s="71"/>
    </row>
    <row r="30" spans="2:11" ht="24.75" customHeight="1" x14ac:dyDescent="0.25">
      <c r="B30" s="111"/>
      <c r="C30" s="111"/>
      <c r="D30" s="71"/>
      <c r="E30" s="71"/>
      <c r="F30" s="71"/>
      <c r="G30" s="71"/>
      <c r="H30" s="71"/>
      <c r="I30" s="362"/>
      <c r="J30" s="71"/>
      <c r="K30" s="71"/>
    </row>
    <row r="31" spans="2:11" ht="24.75" customHeight="1" x14ac:dyDescent="0.25">
      <c r="E31" s="86"/>
    </row>
    <row r="32" spans="2:11" ht="24.75" customHeight="1" x14ac:dyDescent="0.25">
      <c r="E32" s="86"/>
    </row>
    <row r="33" spans="2:11" ht="24.75" customHeight="1" x14ac:dyDescent="0.25">
      <c r="K33" s="86"/>
    </row>
    <row r="34" spans="2:11" ht="24.75" customHeight="1" x14ac:dyDescent="0.25">
      <c r="K34" s="86"/>
    </row>
    <row r="35" spans="2:11" ht="24.75" customHeight="1" x14ac:dyDescent="0.25">
      <c r="K35" s="86"/>
    </row>
    <row r="36" spans="2:11" ht="24.75" customHeight="1" x14ac:dyDescent="0.25">
      <c r="K36" s="86"/>
    </row>
    <row r="37" spans="2:11" ht="24.75" customHeight="1" x14ac:dyDescent="0.25">
      <c r="K37" s="86"/>
    </row>
    <row r="38" spans="2:11" ht="24.75" customHeight="1" x14ac:dyDescent="0.25">
      <c r="K38" s="86"/>
    </row>
    <row r="39" spans="2:11" ht="24.75" customHeight="1" x14ac:dyDescent="0.25">
      <c r="K39" s="86"/>
    </row>
    <row r="40" spans="2:11" ht="24.75" customHeight="1" x14ac:dyDescent="0.25">
      <c r="B40" s="431"/>
      <c r="C40" s="429" t="s">
        <v>322</v>
      </c>
      <c r="D40" s="428" t="s">
        <v>106</v>
      </c>
      <c r="E40" s="428"/>
      <c r="F40" s="428" t="s">
        <v>105</v>
      </c>
    </row>
    <row r="41" spans="2:11" ht="24.75" customHeight="1" thickBot="1" x14ac:dyDescent="0.3">
      <c r="B41" s="432"/>
      <c r="C41" s="430"/>
      <c r="D41" s="293" t="s">
        <v>102</v>
      </c>
      <c r="E41" s="293" t="s">
        <v>103</v>
      </c>
      <c r="F41" s="430"/>
      <c r="H41" s="86"/>
    </row>
    <row r="42" spans="2:11" ht="24.75" customHeight="1" x14ac:dyDescent="0.25">
      <c r="B42" s="74" t="s">
        <v>168</v>
      </c>
      <c r="C42" s="72">
        <v>10.5</v>
      </c>
      <c r="D42" s="173">
        <f>C42*(8.375/2)^2*PI()</f>
        <v>578.42733957276607</v>
      </c>
      <c r="E42" s="173">
        <f>D42/61.024</f>
        <v>9.4786860837173261</v>
      </c>
      <c r="F42" s="75" t="b">
        <v>1</v>
      </c>
    </row>
    <row r="43" spans="2:11" ht="24.75" customHeight="1" x14ac:dyDescent="0.25">
      <c r="B43" s="74" t="s">
        <v>169</v>
      </c>
      <c r="C43" s="72">
        <v>10</v>
      </c>
      <c r="D43" s="173">
        <f>C43*(8.375/2)^2*PI()</f>
        <v>550.88318054549143</v>
      </c>
      <c r="E43" s="173">
        <f t="shared" ref="E43:E49" si="0">D43/61.024</f>
        <v>9.0273200797307851</v>
      </c>
      <c r="F43" s="75" t="b">
        <v>1</v>
      </c>
    </row>
    <row r="44" spans="2:11" ht="24.75" customHeight="1" x14ac:dyDescent="0.25">
      <c r="B44" s="74" t="s">
        <v>166</v>
      </c>
      <c r="C44" s="72">
        <v>10.5</v>
      </c>
      <c r="D44" s="173">
        <f t="shared" ref="D44:D49" si="1">C44*(8.713/2)^2*PI()</f>
        <v>626.05805623623121</v>
      </c>
      <c r="E44" s="173">
        <f t="shared" si="0"/>
        <v>10.259210412890521</v>
      </c>
      <c r="F44" s="75" t="b">
        <v>1</v>
      </c>
    </row>
    <row r="45" spans="2:11" ht="24.75" customHeight="1" x14ac:dyDescent="0.25">
      <c r="B45" s="74" t="s">
        <v>165</v>
      </c>
      <c r="C45" s="72">
        <v>10</v>
      </c>
      <c r="D45" s="173">
        <f t="shared" si="1"/>
        <v>596.24576784402961</v>
      </c>
      <c r="E45" s="173">
        <f t="shared" si="0"/>
        <v>9.7706765837052565</v>
      </c>
      <c r="F45" s="75" t="b">
        <v>0</v>
      </c>
    </row>
    <row r="46" spans="2:11" ht="24.75" customHeight="1" x14ac:dyDescent="0.25">
      <c r="B46" s="73" t="s">
        <v>167</v>
      </c>
      <c r="C46" s="71">
        <v>14.85</v>
      </c>
      <c r="D46" s="173">
        <f t="shared" si="1"/>
        <v>885.42496524838407</v>
      </c>
      <c r="E46" s="173">
        <f t="shared" si="0"/>
        <v>14.509454726802309</v>
      </c>
      <c r="F46" s="76" t="b">
        <v>1</v>
      </c>
    </row>
    <row r="47" spans="2:11" ht="24.75" customHeight="1" x14ac:dyDescent="0.25">
      <c r="B47" s="73" t="s">
        <v>188</v>
      </c>
      <c r="C47" s="71">
        <v>5.75</v>
      </c>
      <c r="D47" s="173">
        <f t="shared" si="1"/>
        <v>342.84131651031709</v>
      </c>
      <c r="E47" s="173">
        <f t="shared" si="0"/>
        <v>5.6181390356305236</v>
      </c>
      <c r="F47" s="76" t="b">
        <v>0</v>
      </c>
    </row>
    <row r="48" spans="2:11" ht="24.75" customHeight="1" x14ac:dyDescent="0.25">
      <c r="B48" s="73" t="s">
        <v>187</v>
      </c>
      <c r="C48" s="71">
        <v>5.75</v>
      </c>
      <c r="D48" s="173">
        <f t="shared" si="1"/>
        <v>342.84131651031709</v>
      </c>
      <c r="E48" s="173">
        <f t="shared" si="0"/>
        <v>5.6181390356305236</v>
      </c>
      <c r="F48" s="76" t="b">
        <v>0</v>
      </c>
      <c r="I48" s="86"/>
    </row>
    <row r="49" spans="2:9" ht="24.75" customHeight="1" x14ac:dyDescent="0.25">
      <c r="B49" s="73" t="s">
        <v>200</v>
      </c>
      <c r="C49" s="71">
        <v>15.75</v>
      </c>
      <c r="D49" s="173">
        <f t="shared" si="1"/>
        <v>939.08708435434687</v>
      </c>
      <c r="E49" s="173">
        <f t="shared" si="0"/>
        <v>15.388815619335784</v>
      </c>
      <c r="F49" s="76" t="b">
        <v>1</v>
      </c>
      <c r="I49" s="86"/>
    </row>
    <row r="50" spans="2:9" ht="24.75" customHeight="1" x14ac:dyDescent="0.25">
      <c r="B50" s="73" t="s">
        <v>152</v>
      </c>
      <c r="C50" s="184" t="s">
        <v>150</v>
      </c>
      <c r="D50" s="185" t="s">
        <v>150</v>
      </c>
      <c r="E50" s="174">
        <v>0.432</v>
      </c>
      <c r="F50" s="183" t="b">
        <v>1</v>
      </c>
      <c r="I50" s="86"/>
    </row>
    <row r="51" spans="2:9" ht="24.75" customHeight="1" x14ac:dyDescent="0.25">
      <c r="B51" s="73" t="s">
        <v>179</v>
      </c>
      <c r="C51" s="184" t="s">
        <v>150</v>
      </c>
      <c r="D51" s="185" t="s">
        <v>150</v>
      </c>
      <c r="E51" s="174">
        <v>5.58</v>
      </c>
      <c r="F51" s="183" t="b">
        <v>0</v>
      </c>
      <c r="I51" s="86"/>
    </row>
    <row r="52" spans="2:9" ht="24.75" customHeight="1" x14ac:dyDescent="0.25">
      <c r="B52" s="73" t="s">
        <v>180</v>
      </c>
      <c r="C52" s="184" t="s">
        <v>150</v>
      </c>
      <c r="D52" s="185" t="s">
        <v>150</v>
      </c>
      <c r="E52" s="174">
        <v>1.48</v>
      </c>
      <c r="F52" s="183" t="b">
        <v>1</v>
      </c>
      <c r="I52" s="86"/>
    </row>
    <row r="53" spans="2:9" ht="17.399999999999999" customHeight="1" x14ac:dyDescent="0.25">
      <c r="B53" s="73"/>
      <c r="C53" s="184"/>
      <c r="D53" s="184"/>
      <c r="E53" s="184"/>
      <c r="F53" s="111"/>
    </row>
    <row r="54" spans="2:9" x14ac:dyDescent="0.25">
      <c r="B54" s="77"/>
      <c r="F54" s="109"/>
    </row>
    <row r="55" spans="2:9" x14ac:dyDescent="0.25">
      <c r="B55" s="77"/>
      <c r="F55" s="109"/>
      <c r="I55" s="86"/>
    </row>
    <row r="56" spans="2:9" x14ac:dyDescent="0.25">
      <c r="B56" s="70" t="s">
        <v>280</v>
      </c>
      <c r="C56" s="70">
        <v>8.375</v>
      </c>
      <c r="I56" s="86"/>
    </row>
    <row r="57" spans="2:9" x14ac:dyDescent="0.25">
      <c r="B57" s="70" t="s">
        <v>281</v>
      </c>
      <c r="C57" s="70">
        <v>8.7129999999999992</v>
      </c>
    </row>
    <row r="62" spans="2:9" ht="13.8" x14ac:dyDescent="0.25">
      <c r="B62" s="433"/>
      <c r="C62" s="429" t="s">
        <v>322</v>
      </c>
      <c r="D62" s="435" t="s">
        <v>106</v>
      </c>
      <c r="E62" s="435"/>
      <c r="F62" s="435" t="s">
        <v>105</v>
      </c>
    </row>
    <row r="63" spans="2:9" ht="14.4" thickBot="1" x14ac:dyDescent="0.3">
      <c r="B63" s="434"/>
      <c r="C63" s="430"/>
      <c r="D63" s="297" t="s">
        <v>102</v>
      </c>
      <c r="E63" s="297" t="s">
        <v>103</v>
      </c>
      <c r="F63" s="436"/>
    </row>
    <row r="64" spans="2:9" ht="19.2" customHeight="1" x14ac:dyDescent="0.25">
      <c r="B64" s="276" t="s">
        <v>263</v>
      </c>
      <c r="C64" s="277"/>
      <c r="D64" s="277">
        <f>C64*(8.375/2)^2*PI()</f>
        <v>0</v>
      </c>
      <c r="E64" s="277">
        <f>D64/61.024</f>
        <v>0</v>
      </c>
      <c r="F64" s="277"/>
      <c r="G64" s="86" t="s">
        <v>264</v>
      </c>
    </row>
    <row r="65" spans="2:11" ht="28.2" customHeight="1" x14ac:dyDescent="0.25">
      <c r="B65" s="276" t="s">
        <v>269</v>
      </c>
      <c r="C65" s="277">
        <f>Ballast!E20</f>
        <v>0</v>
      </c>
      <c r="D65" s="278">
        <f>C65*(8.713/2)^2*PI()</f>
        <v>0</v>
      </c>
      <c r="E65" s="278">
        <f>D65/61.024</f>
        <v>0</v>
      </c>
      <c r="F65" s="282"/>
    </row>
    <row r="66" spans="2:11" ht="19.2" customHeight="1" x14ac:dyDescent="0.25">
      <c r="B66" s="276" t="str">
        <f>"ASSY G-1405 (Standard G2 - " &amp; C66&amp; "'')"</f>
        <v>ASSY G-1405 (Standard G2 - 19.73'')</v>
      </c>
      <c r="C66" s="277">
        <v>19.73</v>
      </c>
      <c r="D66" s="278">
        <f>C66*(8.713/2)^2*PI()</f>
        <v>1176.3928999562706</v>
      </c>
      <c r="E66" s="278">
        <f>D66/61.024</f>
        <v>19.277544899650476</v>
      </c>
      <c r="F66" s="279" t="b">
        <v>0</v>
      </c>
    </row>
    <row r="67" spans="2:11" ht="22.2" customHeight="1" x14ac:dyDescent="0.25">
      <c r="B67" s="276" t="str">
        <f>"ASSY G-1405-L (Standard G3 - "&amp;C67&amp;"'')"</f>
        <v>ASSY G-1405-L (Standard G3 - 20.25'')</v>
      </c>
      <c r="C67" s="277">
        <v>20.25</v>
      </c>
      <c r="D67" s="278">
        <f t="shared" ref="D67:D78" si="2">C67*(8.713/2)^2*PI()</f>
        <v>1207.3976798841602</v>
      </c>
      <c r="E67" s="278">
        <f t="shared" ref="E67:E78" si="3">D67/61.024</f>
        <v>19.785620082003149</v>
      </c>
      <c r="F67" s="279" t="b">
        <v>1</v>
      </c>
    </row>
    <row r="68" spans="2:11" ht="22.2" customHeight="1" x14ac:dyDescent="0.25">
      <c r="B68" s="276" t="str">
        <f>"ASSY G-1405-3 ("&amp;C68&amp; "'')"</f>
        <v>ASSY G-1405-3 (21.75'')</v>
      </c>
      <c r="C68" s="277">
        <v>21.75</v>
      </c>
      <c r="D68" s="278">
        <f t="shared" si="2"/>
        <v>1296.8345450607644</v>
      </c>
      <c r="E68" s="278">
        <f t="shared" si="3"/>
        <v>21.251221569558933</v>
      </c>
      <c r="F68" s="282" t="b">
        <v>1</v>
      </c>
      <c r="G68" s="283"/>
      <c r="H68" s="284"/>
      <c r="I68" s="285"/>
      <c r="J68" s="285"/>
      <c r="K68" s="286"/>
    </row>
    <row r="69" spans="2:11" ht="23.4" customHeight="1" x14ac:dyDescent="0.25">
      <c r="B69" s="276" t="str">
        <f>"ASSY G-1405-5 ("&amp;C69&amp;"'')"</f>
        <v>ASSY G-1405-5 (24.63'')</v>
      </c>
      <c r="C69" s="277">
        <v>24.63</v>
      </c>
      <c r="D69" s="278">
        <f t="shared" si="2"/>
        <v>1468.5533261998451</v>
      </c>
      <c r="E69" s="278">
        <f>D69/61.024</f>
        <v>24.065176425666049</v>
      </c>
      <c r="F69" s="282" t="b">
        <v>1</v>
      </c>
    </row>
    <row r="70" spans="2:11" ht="23.4" customHeight="1" x14ac:dyDescent="0.25">
      <c r="B70" s="276" t="s">
        <v>268</v>
      </c>
      <c r="C70" s="277">
        <f>Ballast!E19</f>
        <v>0</v>
      </c>
      <c r="D70" s="278">
        <f>C70*(8.713/2)^2*PI()</f>
        <v>0</v>
      </c>
      <c r="E70" s="278">
        <f>D70/61.024</f>
        <v>0</v>
      </c>
      <c r="F70" s="282"/>
    </row>
    <row r="71" spans="2:11" ht="23.4" customHeight="1" x14ac:dyDescent="0.25">
      <c r="B71" s="280" t="s">
        <v>262</v>
      </c>
      <c r="C71" s="281">
        <v>10.5</v>
      </c>
      <c r="D71" s="281">
        <f>C71*(8.375/2)^2*PI()</f>
        <v>578.42733957276607</v>
      </c>
      <c r="E71" s="278">
        <f>D71/61.024</f>
        <v>9.4786860837173261</v>
      </c>
      <c r="F71" s="281"/>
      <c r="G71" s="86" t="s">
        <v>265</v>
      </c>
      <c r="H71" s="70" t="str">
        <f>"words" &amp; D69 &amp; "words"</f>
        <v>words1468.55332619985words</v>
      </c>
    </row>
    <row r="72" spans="2:11" ht="23.4" customHeight="1" x14ac:dyDescent="0.25">
      <c r="B72" s="276" t="s">
        <v>267</v>
      </c>
      <c r="C72" s="296">
        <f>Ballast!E21</f>
        <v>0</v>
      </c>
      <c r="D72" s="278">
        <f>C72*(8.713/2)^2*PI()</f>
        <v>0</v>
      </c>
      <c r="E72" s="278">
        <f>D72/61.024</f>
        <v>0</v>
      </c>
      <c r="F72" s="281"/>
    </row>
    <row r="73" spans="2:11" ht="18" customHeight="1" x14ac:dyDescent="0.25">
      <c r="B73" s="276" t="str">
        <f>"Standard PL Bay ("&amp;C73&amp;"'')"</f>
        <v>Standard PL Bay (10.6'')</v>
      </c>
      <c r="C73" s="277">
        <f>9.4+2*0.6</f>
        <v>10.6</v>
      </c>
      <c r="D73" s="278">
        <f t="shared" si="2"/>
        <v>632.02051391467148</v>
      </c>
      <c r="E73" s="278">
        <f t="shared" si="3"/>
        <v>10.356917178727574</v>
      </c>
      <c r="F73" s="279" t="b">
        <v>0</v>
      </c>
    </row>
    <row r="74" spans="2:11" ht="18" customHeight="1" x14ac:dyDescent="0.25">
      <c r="B74" s="280" t="s">
        <v>298</v>
      </c>
      <c r="C74" s="281">
        <f>9.4+0.6+0.8</f>
        <v>10.8</v>
      </c>
      <c r="D74" s="278">
        <f t="shared" si="2"/>
        <v>643.94542927155214</v>
      </c>
      <c r="E74" s="278">
        <f t="shared" si="3"/>
        <v>10.55233071040168</v>
      </c>
      <c r="F74" s="282" t="b">
        <v>0</v>
      </c>
    </row>
    <row r="75" spans="2:11" ht="25.2" customHeight="1" x14ac:dyDescent="0.25">
      <c r="B75" s="280" t="str">
        <f>"14'' Carbon MCBH PL Bay ("&amp;C75&amp;"'')"</f>
        <v>14'' Carbon MCBH PL Bay (15.4'')</v>
      </c>
      <c r="C75" s="281">
        <f>14+0.6+0.8</f>
        <v>15.4</v>
      </c>
      <c r="D75" s="278">
        <f t="shared" si="2"/>
        <v>918.21848247980574</v>
      </c>
      <c r="E75" s="278">
        <f t="shared" si="3"/>
        <v>15.046841938906098</v>
      </c>
      <c r="F75" s="282" t="b">
        <v>0</v>
      </c>
    </row>
    <row r="76" spans="2:11" ht="27.6" customHeight="1" x14ac:dyDescent="0.25">
      <c r="B76" s="280" t="str">
        <f>"Energy Bay ("&amp;C76&amp;"'')"</f>
        <v>Energy Bay (15.2'')</v>
      </c>
      <c r="C76" s="281">
        <f>14+2*0.6</f>
        <v>15.2</v>
      </c>
      <c r="D76" s="278">
        <f t="shared" si="2"/>
        <v>906.29356712292508</v>
      </c>
      <c r="E76" s="278">
        <f t="shared" si="3"/>
        <v>14.851428407231992</v>
      </c>
      <c r="F76" s="282" t="b">
        <v>0</v>
      </c>
    </row>
    <row r="77" spans="2:11" ht="18.600000000000001" customHeight="1" x14ac:dyDescent="0.25">
      <c r="B77" s="280" t="str">
        <f>"Half Stack ("&amp;C77&amp;"'')"</f>
        <v>Half Stack (6.9'')</v>
      </c>
      <c r="C77" s="281">
        <f>5.7+2*0.6</f>
        <v>6.9</v>
      </c>
      <c r="D77" s="278">
        <f t="shared" si="2"/>
        <v>411.40957981238051</v>
      </c>
      <c r="E77" s="278">
        <f t="shared" si="3"/>
        <v>6.7417668427566291</v>
      </c>
      <c r="F77" s="282" t="b">
        <v>0</v>
      </c>
    </row>
    <row r="78" spans="2:11" ht="13.8" x14ac:dyDescent="0.25">
      <c r="B78" s="280" t="s">
        <v>251</v>
      </c>
      <c r="C78" s="281"/>
      <c r="D78" s="278">
        <f t="shared" si="2"/>
        <v>0</v>
      </c>
      <c r="E78" s="278">
        <f t="shared" si="3"/>
        <v>0</v>
      </c>
      <c r="F78" s="282" t="b">
        <v>1</v>
      </c>
    </row>
    <row r="79" spans="2:11" x14ac:dyDescent="0.25">
      <c r="B79" s="86"/>
    </row>
    <row r="81" spans="2:6" ht="13.8" thickBot="1" x14ac:dyDescent="0.3"/>
    <row r="82" spans="2:6" ht="16.2" thickBot="1" x14ac:dyDescent="0.3">
      <c r="B82" s="302"/>
      <c r="C82" s="302" t="s">
        <v>305</v>
      </c>
      <c r="D82" s="303" t="s">
        <v>266</v>
      </c>
      <c r="E82" s="322" t="s">
        <v>279</v>
      </c>
    </row>
    <row r="83" spans="2:6" ht="15.6" x14ac:dyDescent="0.25">
      <c r="B83" s="329" t="s">
        <v>283</v>
      </c>
      <c r="C83" s="338"/>
      <c r="D83" s="339"/>
      <c r="E83" s="275">
        <v>1.83</v>
      </c>
      <c r="F83" s="70" t="s">
        <v>282</v>
      </c>
    </row>
    <row r="84" spans="2:6" ht="15.6" x14ac:dyDescent="0.25">
      <c r="B84" s="335" t="s">
        <v>284</v>
      </c>
      <c r="C84" s="340"/>
      <c r="D84" s="341"/>
      <c r="E84" s="111">
        <f>VLOOKUP(Ballast!D18,Constants!B13:O17,14,FALSE)*-1</f>
        <v>0</v>
      </c>
    </row>
    <row r="85" spans="2:6" ht="15.6" x14ac:dyDescent="0.25">
      <c r="B85" s="335" t="s">
        <v>152</v>
      </c>
      <c r="C85" s="330">
        <f>IF(D85=TRUE,0.432,0)</f>
        <v>0</v>
      </c>
      <c r="D85" s="72">
        <f>S11</f>
        <v>0</v>
      </c>
      <c r="E85" s="72"/>
    </row>
    <row r="86" spans="2:6" ht="15.6" x14ac:dyDescent="0.25">
      <c r="B86" s="335" t="s">
        <v>179</v>
      </c>
      <c r="C86" s="331">
        <f>IF(D86=TRUE,5.58,0)</f>
        <v>0</v>
      </c>
      <c r="D86" s="71" t="b">
        <v>0</v>
      </c>
      <c r="E86" s="71"/>
    </row>
    <row r="87" spans="2:6" ht="15.6" x14ac:dyDescent="0.25">
      <c r="B87" s="335" t="s">
        <v>180</v>
      </c>
      <c r="C87" s="331">
        <f>IF(D87=TRUE,1.48,0)</f>
        <v>0</v>
      </c>
      <c r="D87" s="71" t="b">
        <v>0</v>
      </c>
      <c r="E87" s="71"/>
    </row>
    <row r="88" spans="2:6" ht="15.6" x14ac:dyDescent="0.25">
      <c r="B88" s="335" t="s">
        <v>297</v>
      </c>
      <c r="C88" s="330">
        <f>IF(R11=TRUE,0.21,0)</f>
        <v>0</v>
      </c>
      <c r="D88" s="71">
        <f>R11</f>
        <v>0</v>
      </c>
      <c r="E88" s="71"/>
    </row>
    <row r="89" spans="2:6" ht="15.6" x14ac:dyDescent="0.25">
      <c r="B89" s="335" t="s">
        <v>248</v>
      </c>
      <c r="C89" s="332">
        <f>IF(D89=TRUE,0.04822,0)</f>
        <v>4.8219999999999999E-2</v>
      </c>
      <c r="D89" s="71" t="b">
        <v>1</v>
      </c>
      <c r="E89" s="71"/>
    </row>
    <row r="90" spans="2:6" ht="15.6" x14ac:dyDescent="0.25">
      <c r="B90" s="336" t="s">
        <v>194</v>
      </c>
      <c r="C90" s="332">
        <f>IF(Ballast!D27=Constants!K11,Constants!L11,IF(Ballast!D27=Constants!K12,Constants!L12,IF(Ballast!D27=Constants!K13,Constants!L13,IF(Ballast!D27=Constants!K14,Constants!L14,IF(Ballast!D27=Constants!K15,Constants!L15,IF(Ballast!D27=Constants!K16,Constants!L16,))))))</f>
        <v>0</v>
      </c>
      <c r="D90" s="304" t="s">
        <v>150</v>
      </c>
      <c r="E90" s="71"/>
    </row>
    <row r="91" spans="2:6" ht="15.6" x14ac:dyDescent="0.25">
      <c r="B91" s="336" t="s">
        <v>249</v>
      </c>
      <c r="C91" s="332">
        <f>IF(M11=TRUE,0.17,IF(M13=TRUE,0.057,0))</f>
        <v>0.17</v>
      </c>
      <c r="D91" s="304" t="s">
        <v>150</v>
      </c>
      <c r="E91" s="71"/>
    </row>
    <row r="92" spans="2:6" ht="15.6" x14ac:dyDescent="0.25">
      <c r="B92" s="335" t="s">
        <v>252</v>
      </c>
      <c r="C92" s="333">
        <f>IF(Ballast!D19=Constants!B64,Constants!E64,IF(Ballast!D19=Constants!B66,Constants!E66,IF(Ballast!D19=Constants!B67,Constants!E67,IF(Ballast!D19=Constants!B68,Constants!E68,IF(Ballast!D19=Constants!B69,Constants!E69,IF(Ballast!D19=Constants!B70,Constants!E70,0))))))</f>
        <v>19.785620082003149</v>
      </c>
      <c r="D92" s="304" t="s">
        <v>150</v>
      </c>
      <c r="E92" s="71">
        <f>C92/2</f>
        <v>9.8928100410015745</v>
      </c>
    </row>
    <row r="93" spans="2:6" ht="15.6" x14ac:dyDescent="0.25">
      <c r="B93" s="335" t="s">
        <v>253</v>
      </c>
      <c r="C93" s="333">
        <f>IF(Ballast!D20=Constants!B64,Constants!E64,IF(Ballast!D20=Constants!B66,Constants!E66,IF(Ballast!D20=Constants!B67,Constants!E67,IF(Ballast!D20=Constants!B68,Constants!E68,IF(Ballast!D20=Constants!B69,Constants!E69,IF(Ballast!D20=Constants!B65,Constants!E65,0))))))</f>
        <v>21.251221569558933</v>
      </c>
      <c r="D93" s="304" t="s">
        <v>150</v>
      </c>
      <c r="E93" s="71">
        <f t="shared" ref="E93:E95" si="4">C93/2</f>
        <v>10.625610784779466</v>
      </c>
    </row>
    <row r="94" spans="2:6" ht="15.6" x14ac:dyDescent="0.25">
      <c r="B94" s="335" t="s">
        <v>254</v>
      </c>
      <c r="C94" s="333">
        <f>VLOOKUP(Ballast!D21,B71:E78,4,FALSE)</f>
        <v>10.356917178727574</v>
      </c>
      <c r="D94" s="304" t="s">
        <v>150</v>
      </c>
      <c r="E94" s="71">
        <f t="shared" si="4"/>
        <v>5.1784585893637871</v>
      </c>
    </row>
    <row r="95" spans="2:6" ht="16.2" thickBot="1" x14ac:dyDescent="0.3">
      <c r="B95" s="337" t="s">
        <v>255</v>
      </c>
      <c r="C95" s="334" t="e">
        <f>VLOOKUP(Ballast!D22,Constants!B71:E78,4,FALSE)-IF(Ballast!D22&lt;&gt;"None",(0.6*(8.713/2)^2*PI())/61.024,0)+IF(Ballast!D22=B72,(0.6*(8.713/2)^2*PI())/61.024,0)</f>
        <v>#N/A</v>
      </c>
      <c r="D95" s="324" t="s">
        <v>150</v>
      </c>
      <c r="E95" s="301" t="e">
        <f t="shared" si="4"/>
        <v>#N/A</v>
      </c>
    </row>
    <row r="96" spans="2:6" ht="16.2" thickBot="1" x14ac:dyDescent="0.3">
      <c r="B96" s="288" t="s">
        <v>256</v>
      </c>
      <c r="C96" s="325">
        <f>SUMIF(C85:C95,"&lt;&gt;#N/A")</f>
        <v>51.611978830289658</v>
      </c>
      <c r="D96" s="323"/>
      <c r="E96" s="322">
        <f>SUMIF(E83:E95,"&lt;&gt;#N/A")</f>
        <v>27.526879415144826</v>
      </c>
    </row>
    <row r="98" spans="2:10" x14ac:dyDescent="0.25">
      <c r="B98" s="86"/>
      <c r="C98" s="86"/>
      <c r="D98" s="86"/>
      <c r="E98" s="86"/>
    </row>
    <row r="100" spans="2:10" x14ac:dyDescent="0.25">
      <c r="B100" s="86" t="s">
        <v>290</v>
      </c>
    </row>
    <row r="101" spans="2:10" x14ac:dyDescent="0.25">
      <c r="B101" s="86" t="s">
        <v>292</v>
      </c>
      <c r="C101" s="86" t="s">
        <v>294</v>
      </c>
      <c r="D101" s="86" t="s">
        <v>293</v>
      </c>
      <c r="E101" s="86" t="s">
        <v>307</v>
      </c>
    </row>
    <row r="102" spans="2:10" x14ac:dyDescent="0.25">
      <c r="B102" s="86" t="s">
        <v>291</v>
      </c>
      <c r="C102" s="86" t="s">
        <v>293</v>
      </c>
      <c r="D102" s="86" t="s">
        <v>294</v>
      </c>
      <c r="E102" s="86" t="s">
        <v>306</v>
      </c>
    </row>
    <row r="103" spans="2:10" x14ac:dyDescent="0.25">
      <c r="F103" s="77"/>
      <c r="G103" s="77"/>
      <c r="H103" s="77"/>
      <c r="I103" s="77"/>
    </row>
    <row r="104" spans="2:10" x14ac:dyDescent="0.25">
      <c r="B104" s="70" t="str">
        <f>IF(Ballast!D22&lt;&gt;B78,Constants!B101,Constants!B102)</f>
        <v>W/ Secondary Bay</v>
      </c>
      <c r="F104" s="86"/>
      <c r="G104" s="86"/>
      <c r="H104" s="86"/>
      <c r="I104" s="86"/>
    </row>
    <row r="105" spans="2:10" x14ac:dyDescent="0.25">
      <c r="F105" s="86"/>
      <c r="G105" s="86"/>
      <c r="H105" s="86"/>
      <c r="I105" s="86"/>
    </row>
    <row r="106" spans="2:10" x14ac:dyDescent="0.25">
      <c r="F106" s="86"/>
      <c r="G106" s="86"/>
      <c r="H106" s="86"/>
      <c r="I106" s="86"/>
    </row>
    <row r="107" spans="2:10" x14ac:dyDescent="0.25">
      <c r="F107" s="86"/>
      <c r="G107" s="86"/>
      <c r="H107" s="86"/>
      <c r="I107" s="86"/>
      <c r="J107" s="86"/>
    </row>
    <row r="108" spans="2:10" x14ac:dyDescent="0.25">
      <c r="F108" s="86"/>
      <c r="G108" s="86"/>
      <c r="H108" s="86"/>
      <c r="I108" s="86"/>
      <c r="J108" s="86"/>
    </row>
    <row r="109" spans="2:10" x14ac:dyDescent="0.25">
      <c r="F109" s="86"/>
      <c r="G109" s="86"/>
      <c r="H109" s="86"/>
      <c r="I109" s="86"/>
      <c r="J109" s="86"/>
    </row>
    <row r="112" spans="2:10" ht="22.5" customHeight="1" x14ac:dyDescent="0.25">
      <c r="C112" s="86"/>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&amp;C&amp;F</oddHeader>
    <oddFooter>&amp;L&amp;1#&amp;"Calibri,Regular"&amp;10&amp;K000000Teledyne Confidential; Commercially Sensitive Business Data&amp;C&amp;A</oddFooter>
  </headerFooter>
  <rowBreaks count="2" manualBreakCount="2">
    <brk id="39" max="10" man="1"/>
    <brk id="111" max="16383" man="1"/>
  </rowBreaks>
  <colBreaks count="1" manualBreakCount="1">
    <brk id="11" max="117"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5"/>
  <sheetViews>
    <sheetView workbookViewId="0">
      <selection activeCell="M24" sqref="M24"/>
    </sheetView>
  </sheetViews>
  <sheetFormatPr defaultColWidth="9.109375" defaultRowHeight="13.2" x14ac:dyDescent="0.25"/>
  <cols>
    <col min="1" max="1" width="1" style="70" customWidth="1"/>
    <col min="2" max="2" width="25.88671875" style="70" customWidth="1"/>
    <col min="3" max="3" width="14.6640625" style="70" customWidth="1"/>
    <col min="4" max="5" width="13.33203125" style="70" customWidth="1"/>
    <col min="6" max="6" width="24.44140625" style="70" customWidth="1"/>
    <col min="7" max="7" width="15.6640625" style="70" customWidth="1"/>
    <col min="8" max="8" width="3.6640625" style="70" customWidth="1"/>
    <col min="9" max="16384" width="9.109375" style="70"/>
  </cols>
  <sheetData>
    <row r="1" spans="1:8" customFormat="1" ht="20.25" customHeight="1" x14ac:dyDescent="0.25">
      <c r="E1" s="70"/>
      <c r="F1" s="128" t="s">
        <v>145</v>
      </c>
      <c r="G1" s="129" t="str">
        <f>Ballast!$I$1</f>
        <v>4095-GBPSH</v>
      </c>
    </row>
    <row r="2" spans="1:8" customFormat="1" ht="20.25" customHeight="1" x14ac:dyDescent="0.25">
      <c r="E2" s="70"/>
      <c r="F2" s="130" t="s">
        <v>146</v>
      </c>
      <c r="G2" s="131" t="str">
        <f>Ballast!$I$2</f>
        <v>H</v>
      </c>
    </row>
    <row r="3" spans="1:8" customFormat="1" ht="20.25" customHeight="1" x14ac:dyDescent="0.25">
      <c r="E3" s="70"/>
      <c r="F3" s="130" t="s">
        <v>1</v>
      </c>
      <c r="G3" s="132">
        <f>Ballast!$I$3</f>
        <v>44888</v>
      </c>
    </row>
    <row r="4" spans="1:8" customFormat="1" ht="20.25" customHeight="1" thickBot="1" x14ac:dyDescent="0.3">
      <c r="E4" s="70"/>
      <c r="F4" s="133" t="s">
        <v>147</v>
      </c>
      <c r="G4" s="134">
        <f>Ballast!$I$4</f>
        <v>14841</v>
      </c>
    </row>
    <row r="5" spans="1:8" customFormat="1" ht="7.5" customHeight="1" thickBot="1" x14ac:dyDescent="0.3"/>
    <row r="6" spans="1:8" ht="24.75" customHeight="1" thickTop="1" x14ac:dyDescent="0.25">
      <c r="A6" s="135"/>
      <c r="B6" s="219" t="s">
        <v>84</v>
      </c>
      <c r="C6" s="135"/>
      <c r="D6" s="135"/>
      <c r="E6" s="135"/>
      <c r="F6" s="135"/>
      <c r="G6" s="135"/>
      <c r="H6" s="135"/>
    </row>
    <row r="7" spans="1:8" ht="15" customHeight="1" x14ac:dyDescent="0.25">
      <c r="B7" s="203" t="s">
        <v>0</v>
      </c>
      <c r="C7" s="204" t="str">
        <f>IF(ISBLANK(Ballast!D15),"",Ballast!D15)</f>
        <v/>
      </c>
      <c r="D7" s="205"/>
      <c r="E7" s="205"/>
      <c r="F7" s="205"/>
      <c r="G7" s="205"/>
      <c r="H7" s="84"/>
    </row>
    <row r="8" spans="1:8" ht="15" customHeight="1" x14ac:dyDescent="0.25">
      <c r="B8" s="203" t="s">
        <v>117</v>
      </c>
      <c r="C8" s="204" t="str">
        <f>IF(ISBLANK(Ballast!D16),"",Ballast!D16)</f>
        <v/>
      </c>
      <c r="D8" s="206"/>
      <c r="E8" s="207"/>
      <c r="F8" s="204"/>
      <c r="G8" s="204"/>
      <c r="H8" s="84"/>
    </row>
    <row r="9" spans="1:8" ht="15" customHeight="1" x14ac:dyDescent="0.25">
      <c r="B9" s="203" t="s">
        <v>1</v>
      </c>
      <c r="C9" s="208" t="str">
        <f>IF(ISBLANK(Ballast!D17),"",Ballast!D17)</f>
        <v/>
      </c>
      <c r="D9" s="206"/>
      <c r="E9" s="207"/>
      <c r="F9" s="204"/>
      <c r="G9" s="204"/>
      <c r="H9" s="110"/>
    </row>
    <row r="10" spans="1:8" ht="15" customHeight="1" x14ac:dyDescent="0.25">
      <c r="B10" s="209" t="s">
        <v>109</v>
      </c>
      <c r="C10" s="210">
        <f>IF(Ballast!D32=0,"",Ballast!D32)</f>
        <v>62.009978830289654</v>
      </c>
      <c r="D10" s="211"/>
      <c r="E10" s="207"/>
      <c r="F10" s="212"/>
      <c r="G10" s="213"/>
      <c r="H10" s="84"/>
    </row>
    <row r="11" spans="1:8" ht="15" customHeight="1" x14ac:dyDescent="0.25">
      <c r="B11" s="203" t="s">
        <v>115</v>
      </c>
      <c r="C11" s="214" t="str">
        <f>IF(ISERROR(Ballast!D83),IF(ISERROR(Ballast!D106),"",Ballast!D106),Ballast!D83)</f>
        <v/>
      </c>
      <c r="D11" s="207"/>
      <c r="E11" s="215"/>
      <c r="F11" s="207"/>
      <c r="G11" s="207"/>
      <c r="H11" s="84"/>
    </row>
    <row r="12" spans="1:8" ht="8.25" customHeight="1" x14ac:dyDescent="0.25">
      <c r="B12" s="213"/>
      <c r="C12" s="207"/>
      <c r="D12" s="207"/>
      <c r="E12" s="207"/>
      <c r="F12" s="207"/>
      <c r="G12" s="207"/>
      <c r="H12" s="84"/>
    </row>
    <row r="13" spans="1:8" ht="15" customHeight="1" x14ac:dyDescent="0.25">
      <c r="B13" s="213" t="s">
        <v>85</v>
      </c>
      <c r="C13" s="207"/>
      <c r="D13" s="207"/>
      <c r="E13" s="207"/>
      <c r="F13" s="213" t="s">
        <v>86</v>
      </c>
      <c r="G13" s="207"/>
      <c r="H13" s="84"/>
    </row>
    <row r="14" spans="1:8" ht="15" customHeight="1" x14ac:dyDescent="0.25">
      <c r="B14" s="216" t="s">
        <v>110</v>
      </c>
      <c r="C14" s="217">
        <f>Ballast!D39</f>
        <v>24.596</v>
      </c>
      <c r="D14" s="207"/>
      <c r="E14" s="207"/>
      <c r="F14" s="216" t="s">
        <v>110</v>
      </c>
      <c r="G14" s="217">
        <f>Ballast!F39</f>
        <v>11</v>
      </c>
      <c r="H14" s="84"/>
    </row>
    <row r="15" spans="1:8" ht="15" customHeight="1" x14ac:dyDescent="0.25">
      <c r="B15" s="216" t="s">
        <v>111</v>
      </c>
      <c r="C15" s="217">
        <f>Ballast!D41</f>
        <v>5.1900000000000002E-2</v>
      </c>
      <c r="D15" s="207"/>
      <c r="E15" s="207"/>
      <c r="F15" s="216" t="s">
        <v>111</v>
      </c>
      <c r="G15" s="217">
        <f>Ballast!F41</f>
        <v>0</v>
      </c>
      <c r="H15" s="84"/>
    </row>
    <row r="16" spans="1:8" ht="15" customHeight="1" x14ac:dyDescent="0.25">
      <c r="B16" s="216" t="s">
        <v>112</v>
      </c>
      <c r="C16" s="217">
        <f>Ballast!D44</f>
        <v>0.25334595672125143</v>
      </c>
      <c r="D16" s="207"/>
      <c r="E16" s="207"/>
      <c r="F16" s="216" t="s">
        <v>112</v>
      </c>
      <c r="G16" s="217">
        <f>Ballast!F44</f>
        <v>0</v>
      </c>
      <c r="H16" s="84"/>
    </row>
    <row r="17" spans="2:9" ht="15" customHeight="1" x14ac:dyDescent="0.25">
      <c r="B17" s="216" t="s">
        <v>113</v>
      </c>
      <c r="C17" s="218">
        <f>Ballast!D45</f>
        <v>997.34269933483245</v>
      </c>
      <c r="D17" s="207"/>
      <c r="E17" s="207"/>
      <c r="F17" s="216" t="s">
        <v>113</v>
      </c>
      <c r="G17" s="218">
        <f>Ballast!F45</f>
        <v>1024</v>
      </c>
      <c r="H17" s="84"/>
    </row>
    <row r="18" spans="2:9" ht="9.75" customHeight="1" thickBot="1" x14ac:dyDescent="0.3">
      <c r="B18" s="213"/>
      <c r="C18" s="227"/>
      <c r="D18" s="207"/>
      <c r="E18" s="207"/>
      <c r="F18" s="213"/>
      <c r="G18" s="227"/>
      <c r="H18" s="84"/>
    </row>
    <row r="19" spans="2:9" ht="7.5" customHeight="1" thickTop="1" x14ac:dyDescent="0.25">
      <c r="B19" s="228"/>
      <c r="C19" s="229"/>
      <c r="D19" s="229"/>
      <c r="E19" s="229"/>
      <c r="F19" s="229"/>
      <c r="G19" s="229"/>
      <c r="H19" s="84"/>
    </row>
    <row r="20" spans="2:9" s="109" customFormat="1" ht="30" customHeight="1" x14ac:dyDescent="0.25">
      <c r="B20" s="202" t="s">
        <v>114</v>
      </c>
      <c r="C20" s="438" t="s">
        <v>175</v>
      </c>
      <c r="D20" s="438"/>
      <c r="E20" s="438"/>
      <c r="F20" s="438"/>
      <c r="G20" s="438"/>
      <c r="H20" s="220"/>
      <c r="I20" s="221"/>
    </row>
    <row r="21" spans="2:9" s="109" customFormat="1" ht="18" customHeight="1" x14ac:dyDescent="0.25">
      <c r="B21" s="440" t="s">
        <v>317</v>
      </c>
      <c r="C21" s="440"/>
      <c r="D21" s="440" t="s">
        <v>315</v>
      </c>
      <c r="E21" s="440"/>
      <c r="F21" s="440" t="s">
        <v>316</v>
      </c>
      <c r="G21" s="440"/>
    </row>
    <row r="22" spans="2:9" s="109" customFormat="1" ht="6" customHeight="1" x14ac:dyDescent="0.25">
      <c r="C22" s="166"/>
    </row>
    <row r="23" spans="2:9" s="109" customFormat="1" ht="18" customHeight="1" x14ac:dyDescent="0.25">
      <c r="B23" s="167"/>
      <c r="C23" s="167"/>
    </row>
    <row r="24" spans="2:9" s="109" customFormat="1" ht="18" customHeight="1" x14ac:dyDescent="0.25">
      <c r="B24" s="167"/>
      <c r="C24" s="167"/>
    </row>
    <row r="25" spans="2:9" s="109" customFormat="1" ht="18" customHeight="1" x14ac:dyDescent="0.25"/>
    <row r="26" spans="2:9" s="109" customFormat="1" ht="18" customHeight="1" x14ac:dyDescent="0.25"/>
    <row r="27" spans="2:9" s="109" customFormat="1" ht="18" customHeight="1" x14ac:dyDescent="0.25"/>
    <row r="28" spans="2:9" s="109" customFormat="1" ht="18" customHeight="1" x14ac:dyDescent="0.25"/>
    <row r="29" spans="2:9" s="109" customFormat="1" ht="18" customHeight="1" x14ac:dyDescent="0.25"/>
    <row r="30" spans="2:9" s="109" customFormat="1" ht="18" customHeight="1" x14ac:dyDescent="0.25"/>
    <row r="31" spans="2:9" s="109" customFormat="1" ht="18" customHeight="1" x14ac:dyDescent="0.25"/>
    <row r="32" spans="2:9" s="109" customFormat="1" ht="18" customHeight="1" thickBot="1" x14ac:dyDescent="0.3">
      <c r="C32" s="166"/>
    </row>
    <row r="33" spans="2:13" s="109" customFormat="1" ht="9.75" customHeight="1" thickTop="1" x14ac:dyDescent="0.25">
      <c r="B33" s="230"/>
      <c r="C33" s="230"/>
      <c r="D33" s="230"/>
      <c r="E33" s="230"/>
      <c r="F33" s="230"/>
      <c r="G33" s="230"/>
    </row>
    <row r="34" spans="2:13" s="109" customFormat="1" ht="18" customHeight="1" x14ac:dyDescent="0.25">
      <c r="B34" s="439" t="s">
        <v>176</v>
      </c>
      <c r="C34" s="439"/>
      <c r="D34" s="233" t="s">
        <v>177</v>
      </c>
      <c r="E34" s="190"/>
      <c r="F34" s="190"/>
      <c r="G34" s="190"/>
      <c r="H34" s="190"/>
    </row>
    <row r="35" spans="2:13" s="109" customFormat="1" ht="18" customHeight="1" x14ac:dyDescent="0.25">
      <c r="B35" s="189"/>
      <c r="C35" s="190"/>
      <c r="D35" s="190"/>
      <c r="E35" s="190"/>
      <c r="F35" s="190"/>
      <c r="G35" s="190"/>
      <c r="H35" s="190"/>
    </row>
    <row r="36" spans="2:13" s="109" customFormat="1" ht="18" customHeight="1" x14ac:dyDescent="0.25">
      <c r="B36" s="223"/>
      <c r="C36" s="190"/>
      <c r="D36" s="190"/>
      <c r="E36" s="190"/>
      <c r="F36" s="190"/>
      <c r="G36" s="224"/>
      <c r="H36" s="190"/>
    </row>
    <row r="37" spans="2:13" s="109" customFormat="1" ht="18" customHeight="1" x14ac:dyDescent="0.25">
      <c r="B37" s="223"/>
      <c r="C37" s="190"/>
      <c r="D37" s="190"/>
      <c r="E37" s="190"/>
      <c r="F37" s="190"/>
      <c r="G37" s="222"/>
      <c r="H37" s="190"/>
    </row>
    <row r="38" spans="2:13" s="109" customFormat="1" ht="18" customHeight="1" x14ac:dyDescent="0.25">
      <c r="B38" s="226"/>
      <c r="C38" s="190"/>
      <c r="D38" s="190"/>
      <c r="E38" s="190"/>
      <c r="F38" s="190"/>
      <c r="G38" s="225"/>
      <c r="H38" s="190"/>
    </row>
    <row r="39" spans="2:13" s="109" customFormat="1" ht="18" customHeight="1" x14ac:dyDescent="0.25">
      <c r="B39" s="223"/>
      <c r="C39" s="190"/>
      <c r="D39" s="190"/>
      <c r="E39" s="190"/>
      <c r="F39" s="190"/>
      <c r="G39" s="222"/>
      <c r="H39" s="190"/>
    </row>
    <row r="40" spans="2:13" s="109" customFormat="1" ht="18" customHeight="1" x14ac:dyDescent="0.25">
      <c r="B40" s="223"/>
      <c r="C40" s="190"/>
      <c r="D40" s="190"/>
      <c r="E40" s="190"/>
      <c r="F40" s="190"/>
      <c r="G40" s="224"/>
      <c r="H40" s="190"/>
    </row>
    <row r="41" spans="2:13" s="109" customFormat="1" ht="18" customHeight="1" x14ac:dyDescent="0.25">
      <c r="B41" s="189"/>
      <c r="C41" s="190"/>
      <c r="D41" s="190"/>
      <c r="E41" s="190"/>
      <c r="F41" s="190"/>
      <c r="G41" s="190"/>
      <c r="H41" s="190"/>
    </row>
    <row r="42" spans="2:13" s="109" customFormat="1" ht="21.75" customHeight="1" thickBot="1" x14ac:dyDescent="0.3">
      <c r="B42" s="189"/>
      <c r="C42" s="190"/>
      <c r="D42" s="190"/>
      <c r="E42" s="190"/>
      <c r="F42" s="190"/>
      <c r="G42" s="190"/>
      <c r="H42" s="190"/>
    </row>
    <row r="43" spans="2:13" s="109" customFormat="1" ht="9.75" customHeight="1" thickTop="1" x14ac:dyDescent="0.25">
      <c r="B43" s="231"/>
      <c r="C43" s="232"/>
      <c r="D43" s="232"/>
      <c r="E43" s="232"/>
      <c r="F43" s="232"/>
      <c r="G43" s="232"/>
      <c r="H43" s="190"/>
    </row>
    <row r="44" spans="2:13" ht="18" customHeight="1" x14ac:dyDescent="0.25">
      <c r="B44" s="81" t="s">
        <v>88</v>
      </c>
      <c r="C44" s="77"/>
      <c r="D44" s="77"/>
    </row>
    <row r="45" spans="2:13" ht="8.25" customHeight="1" x14ac:dyDescent="0.25">
      <c r="B45" s="80"/>
    </row>
    <row r="46" spans="2:13" ht="12" customHeight="1" thickBot="1" x14ac:dyDescent="0.3">
      <c r="B46" s="191" t="s">
        <v>72</v>
      </c>
      <c r="C46" s="191" t="s">
        <v>116</v>
      </c>
      <c r="D46" s="191" t="s">
        <v>87</v>
      </c>
      <c r="E46" s="191" t="s">
        <v>116</v>
      </c>
      <c r="F46" s="191" t="s">
        <v>36</v>
      </c>
      <c r="G46" s="191" t="s">
        <v>116</v>
      </c>
      <c r="H46" s="441"/>
      <c r="I46" s="442"/>
      <c r="L46" s="443"/>
      <c r="M46" s="443"/>
    </row>
    <row r="47" spans="2:13" ht="12" customHeight="1" thickTop="1" x14ac:dyDescent="0.25">
      <c r="B47" s="192" t="s">
        <v>89</v>
      </c>
      <c r="C47" s="193"/>
      <c r="D47" s="192" t="s">
        <v>90</v>
      </c>
      <c r="E47" s="193"/>
      <c r="F47" s="192" t="s">
        <v>313</v>
      </c>
      <c r="G47" s="193"/>
      <c r="H47" s="78"/>
      <c r="I47" s="437"/>
      <c r="J47" s="437"/>
      <c r="K47" s="437"/>
      <c r="L47" s="437"/>
      <c r="M47" s="82"/>
    </row>
    <row r="48" spans="2:13" ht="12" customHeight="1" x14ac:dyDescent="0.25">
      <c r="B48" s="194" t="s">
        <v>91</v>
      </c>
      <c r="C48" s="195"/>
      <c r="D48" s="194" t="s">
        <v>92</v>
      </c>
      <c r="E48" s="195"/>
      <c r="F48" s="194" t="s">
        <v>314</v>
      </c>
      <c r="G48" s="195"/>
      <c r="H48" s="79"/>
      <c r="I48" s="437"/>
      <c r="J48" s="437"/>
      <c r="K48" s="437"/>
      <c r="L48" s="437"/>
      <c r="M48" s="82"/>
    </row>
    <row r="49" spans="2:13" ht="12" customHeight="1" x14ac:dyDescent="0.25">
      <c r="B49" s="194" t="s">
        <v>93</v>
      </c>
      <c r="C49" s="195"/>
      <c r="D49" s="194" t="s">
        <v>94</v>
      </c>
      <c r="E49" s="195"/>
      <c r="F49" s="194"/>
      <c r="G49" s="194"/>
      <c r="H49" s="78"/>
      <c r="I49" s="78"/>
      <c r="K49" s="437"/>
      <c r="L49" s="437"/>
      <c r="M49" s="82"/>
    </row>
    <row r="50" spans="2:13" ht="12" customHeight="1" x14ac:dyDescent="0.25">
      <c r="B50" s="196"/>
      <c r="C50" s="194"/>
      <c r="D50" s="194" t="s">
        <v>95</v>
      </c>
      <c r="E50" s="195"/>
      <c r="F50" s="194"/>
      <c r="G50" s="194"/>
      <c r="H50" s="79"/>
      <c r="I50" s="437"/>
      <c r="J50" s="437"/>
      <c r="K50" s="437"/>
      <c r="L50" s="437"/>
      <c r="M50" s="82"/>
    </row>
    <row r="51" spans="2:13" ht="12" customHeight="1" x14ac:dyDescent="0.25">
      <c r="B51" s="197"/>
      <c r="C51" s="197"/>
      <c r="D51" s="194" t="s">
        <v>118</v>
      </c>
      <c r="E51" s="198"/>
      <c r="F51" s="197"/>
      <c r="G51" s="197"/>
      <c r="H51" s="83"/>
      <c r="I51" s="83"/>
      <c r="J51" s="83"/>
      <c r="K51" s="83"/>
      <c r="L51" s="83"/>
      <c r="M51" s="83"/>
    </row>
    <row r="52" spans="2:13" ht="12" customHeight="1" x14ac:dyDescent="0.25">
      <c r="B52" s="199"/>
      <c r="C52" s="199"/>
      <c r="D52" s="200"/>
      <c r="E52" s="199"/>
      <c r="F52" s="199"/>
      <c r="G52" s="199"/>
      <c r="H52" s="83"/>
      <c r="I52" s="83"/>
      <c r="J52" s="83"/>
      <c r="K52" s="83"/>
      <c r="L52" s="83"/>
      <c r="M52" s="83"/>
    </row>
    <row r="53" spans="2:13" ht="12" customHeight="1" x14ac:dyDescent="0.25">
      <c r="B53" s="194" t="s">
        <v>159</v>
      </c>
      <c r="C53" s="194" t="str">
        <f>IF(ISBLANK(Ballast!D28),"",Ballast!D28)</f>
        <v xml:space="preserve">      Installed             Dummy</v>
      </c>
      <c r="D53" s="200"/>
      <c r="E53" s="199"/>
      <c r="F53" s="199"/>
      <c r="G53" s="199"/>
      <c r="H53" s="83"/>
      <c r="I53" s="83"/>
      <c r="J53" s="83"/>
      <c r="K53" s="83"/>
      <c r="L53" s="83"/>
      <c r="M53" s="83"/>
    </row>
    <row r="54" spans="2:13" ht="12" customHeight="1" x14ac:dyDescent="0.25">
      <c r="B54" s="234" t="s">
        <v>158</v>
      </c>
      <c r="C54" s="194" t="str">
        <f>IF(ISBLANK(Ballast!D27),"",Ballast!D27)</f>
        <v>None</v>
      </c>
      <c r="D54" s="201"/>
      <c r="E54" s="201"/>
      <c r="F54" s="201"/>
      <c r="G54" s="201"/>
    </row>
    <row r="55" spans="2:13" ht="12" customHeight="1" x14ac:dyDescent="0.25">
      <c r="B55" s="240"/>
      <c r="C55" s="240"/>
      <c r="D55" s="201"/>
      <c r="E55" s="201"/>
      <c r="F55" s="201"/>
      <c r="G55" s="201"/>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pageMargins left="0.7" right="0.7" top="0.75" bottom="0.75" header="0.3" footer="0.3"/>
  <pageSetup scale="82" orientation="portrait" r:id="rId1"/>
  <headerFooter>
    <oddHeader>&amp;C&amp;F</oddHeader>
    <oddFooter>&amp;L&amp;1#&amp;"Calibri,Regular"&amp;10&amp;K000000Teledyne Confidential; Commercially Sensitive Business Data&amp;C&amp;A</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K95"/>
  <sheetViews>
    <sheetView workbookViewId="0">
      <selection activeCell="F15" sqref="F15"/>
    </sheetView>
  </sheetViews>
  <sheetFormatPr defaultColWidth="9.109375" defaultRowHeight="13.2" x14ac:dyDescent="0.25"/>
  <cols>
    <col min="1" max="1" width="27.6640625" customWidth="1"/>
    <col min="2" max="2" width="20.109375" customWidth="1"/>
    <col min="3" max="3" width="21.109375" customWidth="1"/>
    <col min="4" max="5" width="16.33203125" customWidth="1"/>
    <col min="6" max="6" width="81.88671875" style="23" customWidth="1"/>
    <col min="7" max="7" width="22.44140625" customWidth="1"/>
    <col min="8" max="8" width="19.44140625" customWidth="1"/>
    <col min="9" max="9" width="23.109375" customWidth="1"/>
    <col min="10" max="10" width="20.5546875" customWidth="1"/>
    <col min="11" max="11" width="14.44140625" customWidth="1"/>
    <col min="12" max="12" width="11.5546875" customWidth="1"/>
  </cols>
  <sheetData>
    <row r="1" spans="1:7" ht="20.25" customHeight="1" x14ac:dyDescent="0.25">
      <c r="C1" s="165"/>
      <c r="D1" s="128" t="s">
        <v>145</v>
      </c>
      <c r="E1" s="129" t="str">
        <f>Ballast!$I$1</f>
        <v>4095-GBPSH</v>
      </c>
      <c r="F1"/>
      <c r="G1" s="235"/>
    </row>
    <row r="2" spans="1:7" ht="20.25" customHeight="1" x14ac:dyDescent="0.25">
      <c r="C2" s="165"/>
      <c r="D2" s="130" t="s">
        <v>146</v>
      </c>
      <c r="E2" s="131" t="str">
        <f>Ballast!$I$2</f>
        <v>H</v>
      </c>
      <c r="F2"/>
      <c r="G2" s="235"/>
    </row>
    <row r="3" spans="1:7" ht="20.25" customHeight="1" x14ac:dyDescent="0.25">
      <c r="C3" s="165"/>
      <c r="D3" s="130" t="s">
        <v>1</v>
      </c>
      <c r="E3" s="132">
        <f>Ballast!$I$3</f>
        <v>44888</v>
      </c>
      <c r="F3"/>
    </row>
    <row r="4" spans="1:7" ht="20.25" customHeight="1" thickBot="1" x14ac:dyDescent="0.3">
      <c r="A4" s="446" t="str">
        <f>IF(Ballast!D18&lt;&gt;"","","Please Select Glider Type in Ballast Sheet")</f>
        <v/>
      </c>
      <c r="B4" s="446"/>
      <c r="C4" s="447"/>
      <c r="D4" s="133" t="s">
        <v>147</v>
      </c>
      <c r="E4" s="134">
        <f>Ballast!$I$4</f>
        <v>14841</v>
      </c>
      <c r="F4"/>
    </row>
    <row r="5" spans="1:7" ht="5.25" customHeight="1" thickBot="1" x14ac:dyDescent="0.35">
      <c r="A5" s="257"/>
      <c r="B5" s="257"/>
      <c r="C5" s="257"/>
      <c r="D5" s="255"/>
      <c r="E5" s="256"/>
      <c r="F5"/>
    </row>
    <row r="6" spans="1:7" ht="15.75" customHeight="1" thickTop="1" x14ac:dyDescent="0.25">
      <c r="A6" s="126" t="s">
        <v>34</v>
      </c>
      <c r="B6" s="305" t="str">
        <f>IF(ISBLANK(Ballast!D15),"",Ballast!D15)</f>
        <v/>
      </c>
      <c r="C6" s="450" t="str">
        <f>IF(Ballast!D18=Constants!B11,"",IF(Ballast!D18=Constants!B12,"","Wrong Generation Glider Selected"))</f>
        <v>Wrong Generation Glider Selected</v>
      </c>
      <c r="D6" s="163"/>
      <c r="E6" s="163"/>
      <c r="F6"/>
    </row>
    <row r="7" spans="1:7" ht="13.8" thickBot="1" x14ac:dyDescent="0.3">
      <c r="A7" s="127" t="s">
        <v>1</v>
      </c>
      <c r="B7" s="306" t="str">
        <f>IF(ISBLANK(Ballast!D17),"",Ballast!D17)</f>
        <v/>
      </c>
      <c r="C7" s="451"/>
    </row>
    <row r="9" spans="1:7" x14ac:dyDescent="0.25">
      <c r="A9" s="24"/>
      <c r="C9" s="65"/>
      <c r="D9" s="65"/>
      <c r="E9" s="65"/>
    </row>
    <row r="10" spans="1:7" x14ac:dyDescent="0.25">
      <c r="A10" s="24"/>
      <c r="C10" s="65"/>
      <c r="D10" s="65"/>
      <c r="E10" s="65"/>
    </row>
    <row r="11" spans="1:7" x14ac:dyDescent="0.25">
      <c r="A11" s="24"/>
      <c r="C11" s="65"/>
      <c r="D11" s="65"/>
      <c r="E11" s="65"/>
    </row>
    <row r="12" spans="1:7" x14ac:dyDescent="0.25">
      <c r="A12" s="24"/>
      <c r="C12" s="65"/>
      <c r="D12" s="65"/>
      <c r="E12" s="65"/>
    </row>
    <row r="13" spans="1:7" x14ac:dyDescent="0.25">
      <c r="A13" s="24"/>
      <c r="C13" s="65"/>
      <c r="D13" s="65"/>
      <c r="E13" s="65"/>
    </row>
    <row r="14" spans="1:7" x14ac:dyDescent="0.25">
      <c r="A14" s="24"/>
      <c r="C14" s="65"/>
      <c r="D14" s="65"/>
      <c r="E14" s="65"/>
    </row>
    <row r="15" spans="1:7" x14ac:dyDescent="0.25">
      <c r="A15" s="448" t="s">
        <v>154</v>
      </c>
      <c r="B15" s="448"/>
      <c r="C15" s="448"/>
      <c r="D15" s="448"/>
      <c r="E15" s="65"/>
    </row>
    <row r="16" spans="1:7" ht="13.8" thickBot="1" x14ac:dyDescent="0.3">
      <c r="A16" s="24"/>
    </row>
    <row r="17" spans="1:6" x14ac:dyDescent="0.25">
      <c r="A17" s="25" t="s">
        <v>55</v>
      </c>
      <c r="B17" s="26"/>
      <c r="C17" s="26"/>
      <c r="D17" s="27"/>
    </row>
    <row r="18" spans="1:6" x14ac:dyDescent="0.25">
      <c r="A18" s="141"/>
      <c r="B18" s="29" t="s">
        <v>44</v>
      </c>
      <c r="C18" s="60">
        <v>0</v>
      </c>
      <c r="D18" s="30" t="s">
        <v>8</v>
      </c>
      <c r="E18" s="143" t="str">
        <f>IF(C18&gt;5000,"Error: scale reading too high",IF(C18&lt;0,"Error: scale reading should be positive",""))</f>
        <v/>
      </c>
    </row>
    <row r="19" spans="1:6" x14ac:dyDescent="0.25">
      <c r="A19" s="144"/>
      <c r="B19" s="32" t="s">
        <v>45</v>
      </c>
      <c r="C19" s="60">
        <v>0</v>
      </c>
      <c r="D19" s="30" t="s">
        <v>8</v>
      </c>
      <c r="E19" s="143" t="str">
        <f>IF(C19&gt;5000,"Error: scale reading too high",IF(C19&lt;0,"Error: scale reading should be positive",""))</f>
        <v/>
      </c>
    </row>
    <row r="20" spans="1:6" x14ac:dyDescent="0.25">
      <c r="A20" s="144"/>
      <c r="B20" s="32" t="s">
        <v>46</v>
      </c>
      <c r="C20" s="260">
        <f>Ballast!H46</f>
        <v>1606.8309348871826</v>
      </c>
      <c r="D20" s="30" t="s">
        <v>8</v>
      </c>
      <c r="E20" s="65"/>
    </row>
    <row r="21" spans="1:6" x14ac:dyDescent="0.25">
      <c r="A21" s="146"/>
      <c r="B21" s="34" t="str">
        <f>IF((C18+C19-C20)&gt;0,"Total weight to remove:","Total weight to add:")</f>
        <v>Total weight to add:</v>
      </c>
      <c r="C21" s="259">
        <f>ABS(C18+C19-C20)</f>
        <v>1606.8309348871826</v>
      </c>
      <c r="D21" s="35" t="s">
        <v>8</v>
      </c>
      <c r="E21" s="65"/>
    </row>
    <row r="22" spans="1:6" x14ac:dyDescent="0.25">
      <c r="A22" s="144"/>
      <c r="B22" s="65"/>
      <c r="C22" s="148"/>
      <c r="D22" s="142"/>
      <c r="E22" s="65"/>
    </row>
    <row r="23" spans="1:6" x14ac:dyDescent="0.25">
      <c r="A23" s="31"/>
      <c r="B23" s="37" t="s">
        <v>43</v>
      </c>
      <c r="C23" s="38" t="s">
        <v>47</v>
      </c>
      <c r="D23" s="142"/>
      <c r="E23" s="65"/>
    </row>
    <row r="24" spans="1:6" x14ac:dyDescent="0.25">
      <c r="A24" s="31"/>
      <c r="B24" s="39" t="s">
        <v>60</v>
      </c>
      <c r="C24" s="39" t="s">
        <v>60</v>
      </c>
      <c r="D24" s="142"/>
      <c r="E24" s="65"/>
    </row>
    <row r="25" spans="1:6" x14ac:dyDescent="0.25">
      <c r="A25" s="40" t="s">
        <v>38</v>
      </c>
      <c r="B25" s="258" t="str">
        <f>IF(Ballast!D18="G1 Shallow (200m)",1,IF(Ballast!D18="G1 Deep (1000m)",1,""))</f>
        <v/>
      </c>
      <c r="C25" s="149" t="e">
        <f>B25-$C$31</f>
        <v>#VALUE!</v>
      </c>
      <c r="D25" s="142"/>
      <c r="E25" s="65" t="str">
        <f>IF(B25&lt;-10,"Error: Check scale position",IF(B25&gt;30, "Error, check scale position",""))</f>
        <v>Error, check scale position</v>
      </c>
    </row>
    <row r="26" spans="1:6" x14ac:dyDescent="0.25">
      <c r="A26" s="40" t="s">
        <v>39</v>
      </c>
      <c r="B26" s="258" t="str">
        <f>IF(Ballast!D18="G1 Shallow (200m)",47,IF(Ballast!D18="G1 Deep (1000m)",47.5,""))</f>
        <v/>
      </c>
      <c r="C26" s="149" t="e">
        <f>B26-$C$31</f>
        <v>#VALUE!</v>
      </c>
      <c r="D26" s="142"/>
      <c r="E26" s="65" t="str">
        <f>IF(B26&lt;20,"Error: Check scale position",IF(B26&gt;70, "Error, check scale position",""))</f>
        <v>Error, check scale position</v>
      </c>
    </row>
    <row r="27" spans="1:6" x14ac:dyDescent="0.25">
      <c r="A27" s="31"/>
      <c r="B27" s="65"/>
      <c r="C27" s="65"/>
      <c r="D27" s="142"/>
      <c r="E27" s="65"/>
    </row>
    <row r="28" spans="1:6" ht="13.8" thickBot="1" x14ac:dyDescent="0.3">
      <c r="A28" s="41"/>
      <c r="B28" s="42" t="s">
        <v>68</v>
      </c>
      <c r="C28" s="137" t="e">
        <f>(C18*C25)+(C19*C26)</f>
        <v>#VALUE!</v>
      </c>
      <c r="D28" s="43" t="s">
        <v>35</v>
      </c>
      <c r="E28" s="65"/>
    </row>
    <row r="29" spans="1:6" ht="13.8" thickBot="1" x14ac:dyDescent="0.3">
      <c r="A29" s="65"/>
      <c r="B29" s="151"/>
      <c r="C29" s="65"/>
      <c r="D29" s="65"/>
      <c r="E29" s="65"/>
      <c r="F29" s="23" t="s">
        <v>74</v>
      </c>
    </row>
    <row r="30" spans="1:6" x14ac:dyDescent="0.25">
      <c r="A30" s="44" t="s">
        <v>41</v>
      </c>
      <c r="B30" s="26"/>
      <c r="C30" s="139"/>
      <c r="D30" s="140"/>
      <c r="E30" s="65"/>
      <c r="F30" s="23" t="s">
        <v>56</v>
      </c>
    </row>
    <row r="31" spans="1:6" x14ac:dyDescent="0.25">
      <c r="A31" s="31"/>
      <c r="B31" s="45" t="s">
        <v>40</v>
      </c>
      <c r="C31" s="326" t="str">
        <f>IF(Ballast!D18="G1 Shallow (200m)",22.7,IF(Ballast!D18="G1 Deep (1000m)",23,"Wrong Glider Selected"))</f>
        <v>Wrong Glider Selected</v>
      </c>
      <c r="D31" s="152"/>
      <c r="E31" s="65"/>
      <c r="F31" s="23" t="s">
        <v>42</v>
      </c>
    </row>
    <row r="32" spans="1:6" ht="13.8" thickBot="1" x14ac:dyDescent="0.3">
      <c r="A32" s="31"/>
      <c r="C32" s="65"/>
      <c r="D32" s="142"/>
      <c r="E32" s="65"/>
      <c r="F32" s="23" t="s">
        <v>62</v>
      </c>
    </row>
    <row r="33" spans="1:6" x14ac:dyDescent="0.25">
      <c r="A33" s="46" t="s">
        <v>210</v>
      </c>
      <c r="B33" s="46" t="s">
        <v>216</v>
      </c>
      <c r="C33" s="46" t="s">
        <v>61</v>
      </c>
      <c r="D33" s="142"/>
      <c r="E33" s="65"/>
      <c r="F33" s="23" t="s">
        <v>80</v>
      </c>
    </row>
    <row r="34" spans="1:6" ht="13.8" thickBot="1" x14ac:dyDescent="0.3">
      <c r="A34" s="47"/>
      <c r="B34" s="47" t="s">
        <v>60</v>
      </c>
      <c r="C34" s="47" t="s">
        <v>60</v>
      </c>
      <c r="D34" s="142"/>
      <c r="E34" s="65"/>
      <c r="F34" s="23" t="s">
        <v>81</v>
      </c>
    </row>
    <row r="35" spans="1:6" x14ac:dyDescent="0.25">
      <c r="A35" s="160" t="s">
        <v>221</v>
      </c>
      <c r="B35" s="348" t="str">
        <f>IF(Ballast!D18="G1 Shallow (200m)",2,IF(Ballast!D18="G1 Deep (1000m)",2,""))</f>
        <v/>
      </c>
      <c r="C35" s="351" t="e">
        <f t="shared" ref="C35:C42" si="0">B35-C$31</f>
        <v>#VALUE!</v>
      </c>
      <c r="D35" s="142"/>
      <c r="E35" s="65"/>
    </row>
    <row r="36" spans="1:6" x14ac:dyDescent="0.25">
      <c r="A36" s="161" t="str">
        <f>IF(Ballast!D18="G1 Shallow (200m)","Forward Bottom",IF(Ballast!D18="G1 Deep (1000m)","Unused",""))</f>
        <v/>
      </c>
      <c r="B36" s="349" t="str">
        <f>IF(Ballast!D18="G1 Shallow (200m)",3.5,IF(Ballast!D18="G1 Deep (1000m)",99999,""))</f>
        <v/>
      </c>
      <c r="C36" s="352" t="e">
        <f t="shared" si="0"/>
        <v>#VALUE!</v>
      </c>
      <c r="D36" s="142"/>
      <c r="E36" s="65"/>
      <c r="F36"/>
    </row>
    <row r="37" spans="1:6" x14ac:dyDescent="0.25">
      <c r="A37" s="161" t="s">
        <v>217</v>
      </c>
      <c r="B37" s="349" t="str">
        <f>IF(Ballast!D18="G1 Shallow (200m)",20.125,IF(Ballast!D18="G1 Deep (1000m)",20.375,""))</f>
        <v/>
      </c>
      <c r="C37" s="352" t="e">
        <f t="shared" si="0"/>
        <v>#VALUE!</v>
      </c>
      <c r="D37" s="142"/>
      <c r="E37" s="65"/>
    </row>
    <row r="38" spans="1:6" x14ac:dyDescent="0.25">
      <c r="A38" s="161" t="s">
        <v>218</v>
      </c>
      <c r="B38" s="349" t="str">
        <f>IF(Ballast!D18="G1 Shallow (200m)",22,IF(Ballast!D18="G1 Deep (1000m)",22.125,""))</f>
        <v/>
      </c>
      <c r="C38" s="352" t="e">
        <f t="shared" si="0"/>
        <v>#VALUE!</v>
      </c>
      <c r="D38" s="142"/>
      <c r="E38" s="65"/>
    </row>
    <row r="39" spans="1:6" x14ac:dyDescent="0.25">
      <c r="A39" s="161" t="s">
        <v>48</v>
      </c>
      <c r="B39" s="349" t="str">
        <f>$C$31</f>
        <v>Wrong Glider Selected</v>
      </c>
      <c r="C39" s="352" t="e">
        <f t="shared" si="0"/>
        <v>#VALUE!</v>
      </c>
      <c r="D39" s="142"/>
      <c r="E39" s="65"/>
    </row>
    <row r="40" spans="1:6" x14ac:dyDescent="0.25">
      <c r="A40" s="161" t="s">
        <v>219</v>
      </c>
      <c r="B40" s="349" t="str">
        <f>IF(Ballast!D18="G1 Shallow (200m)",26,IF(Ballast!D18="G1 Deep (1000m)",26.5,""))</f>
        <v/>
      </c>
      <c r="C40" s="352" t="e">
        <f t="shared" si="0"/>
        <v>#VALUE!</v>
      </c>
      <c r="D40" s="142"/>
      <c r="E40" s="65"/>
    </row>
    <row r="41" spans="1:6" x14ac:dyDescent="0.25">
      <c r="A41" s="161" t="s">
        <v>220</v>
      </c>
      <c r="B41" s="349" t="str">
        <f>IF(Ballast!D18="G1 Shallow (200m)",27+15/16,IF(Ballast!D18="G1 Deep (1000m)",28.375,""))</f>
        <v/>
      </c>
      <c r="C41" s="352" t="e">
        <f t="shared" si="0"/>
        <v>#VALUE!</v>
      </c>
      <c r="D41" s="142"/>
      <c r="E41" s="65"/>
    </row>
    <row r="42" spans="1:6" ht="13.8" thickBot="1" x14ac:dyDescent="0.3">
      <c r="A42" s="162" t="s">
        <v>36</v>
      </c>
      <c r="B42" s="350" t="str">
        <f>IF(Ballast!D18="G1 Shallow (200m)",46.875,IF(Ballast!D18="G1 Deep (1000m)",47.5,""))</f>
        <v/>
      </c>
      <c r="C42" s="353" t="e">
        <f t="shared" si="0"/>
        <v>#VALUE!</v>
      </c>
      <c r="D42" s="153"/>
      <c r="E42" s="65"/>
    </row>
    <row r="43" spans="1:6" ht="13.8" thickBot="1" x14ac:dyDescent="0.3">
      <c r="A43" s="65"/>
      <c r="B43" s="65"/>
      <c r="C43" s="65"/>
      <c r="D43" s="65"/>
      <c r="E43" s="65"/>
    </row>
    <row r="44" spans="1:6" x14ac:dyDescent="0.25">
      <c r="A44" s="44" t="s">
        <v>209</v>
      </c>
      <c r="B44" s="139"/>
      <c r="C44" s="139"/>
      <c r="D44" s="140"/>
      <c r="E44" s="65"/>
    </row>
    <row r="45" spans="1:6" ht="13.8" thickBot="1" x14ac:dyDescent="0.3">
      <c r="A45" s="144"/>
      <c r="B45" s="65"/>
      <c r="C45" s="65"/>
      <c r="D45" s="142"/>
      <c r="E45" s="65"/>
    </row>
    <row r="46" spans="1:6" ht="27.75" customHeight="1" x14ac:dyDescent="0.25">
      <c r="A46" s="46" t="s">
        <v>69</v>
      </c>
      <c r="B46" s="46" t="s">
        <v>53</v>
      </c>
      <c r="C46" s="26" t="s">
        <v>208</v>
      </c>
      <c r="D46" s="125" t="s">
        <v>222</v>
      </c>
      <c r="E46" s="46" t="s">
        <v>82</v>
      </c>
    </row>
    <row r="47" spans="1:6" ht="13.8" thickBot="1" x14ac:dyDescent="0.3">
      <c r="A47" s="47" t="s">
        <v>70</v>
      </c>
      <c r="B47" s="47"/>
      <c r="C47" s="49" t="s">
        <v>58</v>
      </c>
      <c r="D47" s="47" t="s">
        <v>59</v>
      </c>
      <c r="E47" s="236" t="s">
        <v>214</v>
      </c>
    </row>
    <row r="48" spans="1:6" x14ac:dyDescent="0.25">
      <c r="A48" s="62">
        <v>1</v>
      </c>
      <c r="B48" s="50" t="str">
        <f t="shared" ref="B48:B55" si="1">A35</f>
        <v>Forward Top</v>
      </c>
      <c r="C48" s="63">
        <v>0</v>
      </c>
      <c r="D48" s="164" t="e">
        <f t="shared" ref="D48:D55" si="2">C35*C48</f>
        <v>#VALUE!</v>
      </c>
      <c r="E48" s="237"/>
      <c r="F48" s="69" t="str">
        <f t="shared" ref="F48:F56" si="3">IF(ABS(C48)&gt;5000,"Error: Weight adjustment too high","")</f>
        <v/>
      </c>
    </row>
    <row r="49" spans="1:9" x14ac:dyDescent="0.25">
      <c r="A49" s="63" t="str">
        <f>IF(A36="Forward Bottom",1,IF(A36="Unused",0,""))</f>
        <v/>
      </c>
      <c r="B49" s="50" t="str">
        <f t="shared" si="1"/>
        <v/>
      </c>
      <c r="C49" s="63">
        <v>0</v>
      </c>
      <c r="D49" s="154" t="e">
        <f t="shared" si="2"/>
        <v>#VALUE!</v>
      </c>
      <c r="E49" s="238"/>
      <c r="F49" s="69" t="str">
        <f t="shared" si="3"/>
        <v/>
      </c>
    </row>
    <row r="50" spans="1:9" x14ac:dyDescent="0.25">
      <c r="A50" s="63">
        <v>1</v>
      </c>
      <c r="B50" s="50" t="str">
        <f t="shared" si="1"/>
        <v>Sci Fwd Bottles</v>
      </c>
      <c r="C50" s="63">
        <v>0</v>
      </c>
      <c r="D50" s="154" t="e">
        <f t="shared" si="2"/>
        <v>#VALUE!</v>
      </c>
      <c r="E50" s="238"/>
      <c r="F50" s="69" t="str">
        <f t="shared" si="3"/>
        <v/>
      </c>
    </row>
    <row r="51" spans="1:9" x14ac:dyDescent="0.25">
      <c r="A51" s="63">
        <v>1</v>
      </c>
      <c r="B51" s="50" t="str">
        <f t="shared" si="1"/>
        <v>Sci Fwd Disc</v>
      </c>
      <c r="C51" s="63">
        <v>0</v>
      </c>
      <c r="D51" s="154" t="e">
        <f t="shared" si="2"/>
        <v>#VALUE!</v>
      </c>
      <c r="E51" s="238"/>
      <c r="F51" s="69" t="str">
        <f t="shared" si="3"/>
        <v/>
      </c>
    </row>
    <row r="52" spans="1:9" x14ac:dyDescent="0.25">
      <c r="A52" s="63">
        <v>1</v>
      </c>
      <c r="B52" s="50" t="str">
        <f t="shared" si="1"/>
        <v>Center</v>
      </c>
      <c r="C52" s="63">
        <v>0</v>
      </c>
      <c r="D52" s="154" t="e">
        <f t="shared" si="2"/>
        <v>#VALUE!</v>
      </c>
      <c r="E52" s="238"/>
      <c r="F52" s="69" t="str">
        <f t="shared" si="3"/>
        <v/>
      </c>
    </row>
    <row r="53" spans="1:9" x14ac:dyDescent="0.25">
      <c r="A53" s="63">
        <v>1</v>
      </c>
      <c r="B53" s="50" t="str">
        <f t="shared" si="1"/>
        <v>Sci Aft Disc</v>
      </c>
      <c r="C53" s="63">
        <v>0</v>
      </c>
      <c r="D53" s="154" t="e">
        <f t="shared" si="2"/>
        <v>#VALUE!</v>
      </c>
      <c r="E53" s="238"/>
      <c r="F53" s="69" t="str">
        <f t="shared" si="3"/>
        <v/>
      </c>
    </row>
    <row r="54" spans="1:9" x14ac:dyDescent="0.25">
      <c r="A54" s="63">
        <v>1</v>
      </c>
      <c r="B54" s="50" t="str">
        <f t="shared" si="1"/>
        <v>Sci Aft Bottles</v>
      </c>
      <c r="C54" s="63">
        <v>0</v>
      </c>
      <c r="D54" s="154" t="e">
        <f t="shared" si="2"/>
        <v>#VALUE!</v>
      </c>
      <c r="E54" s="238"/>
      <c r="F54" s="69" t="str">
        <f t="shared" si="3"/>
        <v/>
      </c>
    </row>
    <row r="55" spans="1:9" ht="13.8" thickBot="1" x14ac:dyDescent="0.3">
      <c r="A55" s="64">
        <v>1</v>
      </c>
      <c r="B55" s="47" t="str">
        <f t="shared" si="1"/>
        <v>Aft</v>
      </c>
      <c r="C55" s="64">
        <v>0</v>
      </c>
      <c r="D55" s="155" t="e">
        <f t="shared" si="2"/>
        <v>#VALUE!</v>
      </c>
      <c r="E55" s="239"/>
      <c r="F55" s="69" t="str">
        <f t="shared" si="3"/>
        <v/>
      </c>
    </row>
    <row r="56" spans="1:9" ht="13.8" thickBot="1" x14ac:dyDescent="0.3">
      <c r="A56" s="150"/>
      <c r="B56" s="156"/>
      <c r="C56" s="137">
        <f>SUM(C48:C55)</f>
        <v>0</v>
      </c>
      <c r="D56" s="157" t="e">
        <f>SUM(D48:D55)</f>
        <v>#VALUE!</v>
      </c>
      <c r="E56" s="65"/>
      <c r="F56" s="69" t="str">
        <f t="shared" si="3"/>
        <v/>
      </c>
    </row>
    <row r="57" spans="1:9" ht="13.5" customHeight="1" thickBot="1" x14ac:dyDescent="0.3">
      <c r="A57" s="65"/>
      <c r="B57" s="65"/>
      <c r="C57" s="65"/>
      <c r="D57" s="65"/>
      <c r="E57" s="65"/>
    </row>
    <row r="58" spans="1:9" ht="13.5" customHeight="1" x14ac:dyDescent="0.25">
      <c r="A58" s="44" t="s">
        <v>54</v>
      </c>
      <c r="B58" s="26"/>
      <c r="C58" s="26"/>
      <c r="D58" s="27"/>
      <c r="F58" s="51"/>
      <c r="G58" s="21"/>
    </row>
    <row r="59" spans="1:9" ht="13.5" customHeight="1" x14ac:dyDescent="0.25">
      <c r="A59" s="31"/>
      <c r="B59" s="52">
        <f>ABS((C18+C19-C20)+C56)</f>
        <v>1606.8309348871826</v>
      </c>
      <c r="C59" s="21" t="str">
        <f>IF(((C18+C19-C20)+C56)&gt;=0,"additional grams need to be removed", "additional grams need to be added")</f>
        <v>additional grams need to be added</v>
      </c>
      <c r="D59" s="30"/>
      <c r="G59" s="21"/>
      <c r="I59" s="36"/>
    </row>
    <row r="60" spans="1:9" ht="13.5" customHeight="1" x14ac:dyDescent="0.25">
      <c r="A60" s="31"/>
      <c r="B60" s="36" t="e">
        <f>ABS((C28+D56)/(B71-B70))</f>
        <v>#VALUE!</v>
      </c>
      <c r="C60" s="36" t="e">
        <f>CONCATENATE("Grams need to move from ",IF((C28+D56)&lt;=0,INDEX(A35:A42,B67,1),INDEX(A35:A42,B68,1))," to ",IF((C28+D56)&lt;=0,INDEX(A35:A42,B68,1),INDEX(A35:A42,B67,1)))</f>
        <v>#VALUE!</v>
      </c>
      <c r="D60" s="30"/>
    </row>
    <row r="61" spans="1:9" ht="13.5" customHeight="1" x14ac:dyDescent="0.25">
      <c r="A61" s="31"/>
      <c r="B61" s="36" t="e">
        <f>INDEX(C48:C55,IF(A48,1,IF(A49,2,IF(A50,3,IF(A51,4,IF(A52,5,IF(A53,6,IF(A54,7,"Error"))))))))+(C28+D56)/(INDEX(C35:C42,IF(A55,8,IF(A54,7,IF(A53,6,IF(A52,5,IF(A51,4,IF(A50,3,IF(A49,2,"error"))))))))-INDEX(C35:C42,IF(A48,1,IF(A49,2,IF(A50,3,IF(A51,4,IF(A52,5,IF(A53,6,IF(A54,7,"Error")))))))))</f>
        <v>#VALUE!</v>
      </c>
      <c r="C61" s="53" t="str">
        <f>CONCATENATE("Change ",INDEX(A35:A42,B67,1)," to this:")</f>
        <v>Change Forward Top to this:</v>
      </c>
      <c r="D61" s="30"/>
      <c r="F61" s="23" t="s">
        <v>77</v>
      </c>
    </row>
    <row r="62" spans="1:9" ht="13.5" customHeight="1" thickBot="1" x14ac:dyDescent="0.3">
      <c r="A62" s="41"/>
      <c r="B62" s="54" t="e">
        <f>INDEX(C48:C55,IF(A55,8,IF(A54,7,IF(A53,6,IF(A52,5,IF(A51,4,IF(A50,3,IF(A49,2,"error"))))))))-((C28+D56)/(INDEX(C35:C42,IF(A55,8,IF(A54,7,IF(A53,6,IF(A52,5,IF(A51,4,IF(A50,3,IF(A49,2,"error"))))))))-INDEX(C35:C42,IF(A48,1,IF(A49,2,IF(A50,3,IF(A51,4,IF(A52,5,IF(A53,6,IF(A54,7,"Error"))))))))))</f>
        <v>#VALUE!</v>
      </c>
      <c r="C62" s="55" t="str">
        <f>CONCATENATE("Change ",INDEX(A35:A42,B68,1)," to this:")</f>
        <v>Change Aft to this:</v>
      </c>
      <c r="D62" s="48"/>
      <c r="F62" s="23" t="s">
        <v>78</v>
      </c>
    </row>
    <row r="63" spans="1:9" ht="13.5" customHeight="1" x14ac:dyDescent="0.25">
      <c r="B63" s="36"/>
      <c r="C63" s="53"/>
      <c r="D63" s="235"/>
    </row>
    <row r="64" spans="1:9" ht="22.5" customHeight="1" x14ac:dyDescent="0.25">
      <c r="B64" s="36"/>
      <c r="C64" s="53"/>
    </row>
    <row r="65" spans="1:11" s="1" customFormat="1" ht="17.25" customHeight="1" x14ac:dyDescent="0.25">
      <c r="F65" s="2"/>
      <c r="G65" s="3"/>
    </row>
    <row r="66" spans="1:11" s="1" customFormat="1" ht="30" hidden="1" customHeight="1" x14ac:dyDescent="0.25">
      <c r="A66" s="4" t="s">
        <v>57</v>
      </c>
      <c r="B66" s="5"/>
      <c r="C66" s="5"/>
      <c r="D66" s="6"/>
      <c r="F66" s="2"/>
      <c r="G66" s="3"/>
    </row>
    <row r="67" spans="1:11" s="1" customFormat="1" ht="25.5" hidden="1" customHeight="1" x14ac:dyDescent="0.25">
      <c r="A67" s="7"/>
      <c r="B67" s="8">
        <f>IF(A48,1,IF(A49,2,IF(A50,3,IF(A51,4,IF(A52,5,IF(A53,6,IF(A54,7,"Error")))))))</f>
        <v>1</v>
      </c>
      <c r="C67" s="8" t="s">
        <v>49</v>
      </c>
      <c r="D67" s="9"/>
      <c r="F67" s="2"/>
      <c r="G67" s="3"/>
    </row>
    <row r="68" spans="1:11" s="1" customFormat="1" ht="25.5" hidden="1" customHeight="1" x14ac:dyDescent="0.25">
      <c r="A68" s="7"/>
      <c r="B68" s="8">
        <f>IF(A55,8,IF(A54,7,IF(A53,6,IF(A52,5,IF(A51,4,IF(A50,3,IF(A49,2,"error")))))))</f>
        <v>8</v>
      </c>
      <c r="C68" s="8" t="s">
        <v>50</v>
      </c>
      <c r="D68" s="9"/>
      <c r="F68" s="2"/>
      <c r="G68" s="3"/>
    </row>
    <row r="69" spans="1:11" s="12" customFormat="1" ht="29.25" hidden="1" customHeight="1" x14ac:dyDescent="0.2">
      <c r="A69" s="10"/>
      <c r="B69" s="8"/>
      <c r="C69" s="8"/>
      <c r="D69" s="11"/>
      <c r="F69" s="13"/>
    </row>
    <row r="70" spans="1:11" s="1" customFormat="1" ht="27.75" hidden="1" customHeight="1" x14ac:dyDescent="0.25">
      <c r="A70" s="7"/>
      <c r="B70" s="8" t="e">
        <f>INDEX(C35:C42,IF(A48,1,IF(A49,2,IF(A50,3,IF(A51,4,IF(A52,5,IF(A53,6,IF(A54,7,"Error"))))))))</f>
        <v>#VALUE!</v>
      </c>
      <c r="C70" s="8" t="s">
        <v>51</v>
      </c>
      <c r="D70" s="14"/>
      <c r="E70" s="15"/>
      <c r="F70" s="16"/>
      <c r="G70" s="15"/>
      <c r="H70" s="15"/>
      <c r="I70" s="15"/>
      <c r="J70" s="15"/>
      <c r="K70" s="15"/>
    </row>
    <row r="71" spans="1:11" s="1" customFormat="1" ht="31.5" hidden="1" customHeight="1" thickBot="1" x14ac:dyDescent="0.35">
      <c r="A71" s="17"/>
      <c r="B71" s="18" t="e">
        <f>INDEX(C35:C42,IF(A55,8,IF(A54,7,IF(A53,6,IF(A52,5,IF(A51,4,IF(A50,3,IF(A49,2,"error"))))))))</f>
        <v>#VALUE!</v>
      </c>
      <c r="C71" s="18" t="s">
        <v>52</v>
      </c>
      <c r="D71" s="19"/>
      <c r="E71" s="15"/>
      <c r="F71" s="16"/>
      <c r="G71" s="15"/>
      <c r="H71" s="15"/>
      <c r="I71" s="15"/>
      <c r="J71" s="15"/>
      <c r="K71" s="20"/>
    </row>
    <row r="72" spans="1:11" ht="15" customHeight="1" x14ac:dyDescent="0.25"/>
    <row r="73" spans="1:11" ht="25.5" customHeight="1" x14ac:dyDescent="0.25">
      <c r="A73" s="23" t="s">
        <v>75</v>
      </c>
    </row>
    <row r="74" spans="1:11" s="58" customFormat="1" ht="30.75" customHeight="1" x14ac:dyDescent="0.25">
      <c r="A74" s="449" t="s">
        <v>76</v>
      </c>
      <c r="B74" s="449"/>
      <c r="C74" s="449"/>
      <c r="D74" s="449"/>
      <c r="E74" s="56"/>
      <c r="F74" s="57"/>
    </row>
    <row r="75" spans="1:11" s="58" customFormat="1" ht="73.5" customHeight="1" x14ac:dyDescent="0.25">
      <c r="A75" s="444" t="s">
        <v>160</v>
      </c>
      <c r="B75" s="444"/>
      <c r="C75" s="444"/>
      <c r="D75" s="444"/>
      <c r="F75" s="57"/>
    </row>
    <row r="76" spans="1:11" s="58" customFormat="1" ht="78" customHeight="1" x14ac:dyDescent="0.25">
      <c r="A76" s="444" t="s">
        <v>161</v>
      </c>
      <c r="B76" s="444"/>
      <c r="C76" s="444"/>
      <c r="D76" s="444"/>
      <c r="F76" s="57"/>
    </row>
    <row r="77" spans="1:11" s="58" customFormat="1" ht="78.75" customHeight="1" x14ac:dyDescent="0.25">
      <c r="A77" s="444" t="s">
        <v>162</v>
      </c>
      <c r="B77" s="444"/>
      <c r="C77" s="444"/>
      <c r="D77" s="444"/>
      <c r="F77" s="57"/>
    </row>
    <row r="78" spans="1:11" s="58" customFormat="1" ht="126" customHeight="1" x14ac:dyDescent="0.25">
      <c r="A78" s="444" t="s">
        <v>163</v>
      </c>
      <c r="B78" s="444"/>
      <c r="C78" s="444"/>
      <c r="D78" s="444"/>
      <c r="F78" s="57"/>
    </row>
    <row r="79" spans="1:11" s="58" customFormat="1" ht="60.75" customHeight="1" x14ac:dyDescent="0.25">
      <c r="A79" s="444" t="s">
        <v>164</v>
      </c>
      <c r="B79" s="444"/>
      <c r="C79" s="444"/>
      <c r="D79" s="444"/>
      <c r="F79" s="57"/>
    </row>
    <row r="80" spans="1:11" ht="34.5" customHeight="1" x14ac:dyDescent="0.25">
      <c r="A80" s="445" t="s">
        <v>79</v>
      </c>
      <c r="B80" s="445"/>
      <c r="C80" s="445"/>
      <c r="D80" s="445"/>
    </row>
    <row r="81" spans="1:5" x14ac:dyDescent="0.25">
      <c r="C81" s="59"/>
      <c r="D81" s="36"/>
    </row>
    <row r="82" spans="1:5" x14ac:dyDescent="0.25">
      <c r="A82" t="s">
        <v>83</v>
      </c>
      <c r="C82" s="59"/>
      <c r="D82" s="36"/>
    </row>
    <row r="83" spans="1:5" x14ac:dyDescent="0.25">
      <c r="C83" s="59"/>
      <c r="D83" s="36"/>
    </row>
    <row r="84" spans="1:5" x14ac:dyDescent="0.25">
      <c r="C84" s="59"/>
      <c r="D84" s="36"/>
    </row>
    <row r="85" spans="1:5" x14ac:dyDescent="0.25">
      <c r="C85" s="59"/>
      <c r="D85" s="36"/>
    </row>
    <row r="86" spans="1:5" x14ac:dyDescent="0.25">
      <c r="C86" s="59"/>
      <c r="D86" s="36"/>
    </row>
    <row r="87" spans="1:5" x14ac:dyDescent="0.25">
      <c r="D87" s="36"/>
      <c r="E87" s="21"/>
    </row>
    <row r="88" spans="1:5" x14ac:dyDescent="0.25">
      <c r="D88" s="36"/>
      <c r="E88" s="36"/>
    </row>
    <row r="89" spans="1:5" x14ac:dyDescent="0.25">
      <c r="C89" s="59"/>
      <c r="D89" s="36"/>
    </row>
    <row r="90" spans="1:5" x14ac:dyDescent="0.25">
      <c r="C90" s="59"/>
      <c r="D90" s="36"/>
    </row>
    <row r="91" spans="1:5" x14ac:dyDescent="0.25">
      <c r="D91" s="36"/>
      <c r="E91" s="21"/>
    </row>
    <row r="92" spans="1:5" x14ac:dyDescent="0.25">
      <c r="D92" s="36"/>
    </row>
    <row r="93" spans="1:5" x14ac:dyDescent="0.25">
      <c r="D93" s="36"/>
      <c r="E93" s="36"/>
    </row>
    <row r="94" spans="1:5" x14ac:dyDescent="0.25">
      <c r="C94" s="59"/>
      <c r="D94" s="36"/>
    </row>
    <row r="95" spans="1:5" x14ac:dyDescent="0.25">
      <c r="C95" s="59"/>
      <c r="D95" s="36"/>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&amp;C&amp;F</oddHeader>
    <oddFooter>&amp;L&amp;1#&amp;"Calibri,Regular"&amp;10&amp;K000000Teledyne Confidential; Commercially Sensitive Business Data&amp;C&amp;A</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K80"/>
  <sheetViews>
    <sheetView workbookViewId="0">
      <selection activeCell="F44" sqref="F44"/>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13.6640625" bestFit="1" customWidth="1"/>
    <col min="6" max="6" width="86.6640625" bestFit="1" customWidth="1"/>
    <col min="8" max="8" width="0" hidden="1"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5" t="str">
        <f>IF(ISBLANK(Ballast!D15),"",Ballast!D15)</f>
        <v/>
      </c>
      <c r="C7" s="451" t="str">
        <f>IF(Ballast!D18=Constants!B13,"",IF(Ballast!D18=Constants!B14,"","Wrong Generation Glider Selected"))</f>
        <v>Wrong Generation Glider Selected</v>
      </c>
      <c r="D7" s="65"/>
      <c r="E7" s="65"/>
      <c r="F7" s="23"/>
    </row>
    <row r="8" spans="1:11" ht="14.25" customHeight="1" thickBot="1" x14ac:dyDescent="0.3">
      <c r="A8" s="127" t="s">
        <v>1</v>
      </c>
      <c r="B8" s="306" t="str">
        <f>IF(ISBLANK(Ballast!D17),"",Ballast!D17)</f>
        <v/>
      </c>
      <c r="C8" s="451"/>
      <c r="D8" s="65"/>
      <c r="E8" s="65"/>
      <c r="F8" s="23"/>
    </row>
    <row r="9" spans="1:11" ht="18" customHeight="1" x14ac:dyDescent="0.25">
      <c r="A9" s="309"/>
      <c r="B9" s="309"/>
      <c r="C9" s="309"/>
      <c r="D9" s="309"/>
      <c r="F9" s="23"/>
      <c r="G9" s="261" t="s">
        <v>202</v>
      </c>
      <c r="H9" s="261" t="s">
        <v>203</v>
      </c>
    </row>
    <row r="10" spans="1:11" ht="21.6" customHeight="1" x14ac:dyDescent="0.25">
      <c r="A10" s="452" t="str">
        <f>VLOOKUP(Constants!B104, Constants!B101:C102, 2, FALSE)</f>
        <v>Picture 7</v>
      </c>
      <c r="B10" s="452"/>
      <c r="C10" s="452"/>
      <c r="D10" s="452"/>
      <c r="E10" s="65"/>
      <c r="F10" s="23"/>
      <c r="G10" s="261" t="s">
        <v>206</v>
      </c>
      <c r="H10" s="261" t="s">
        <v>204</v>
      </c>
    </row>
    <row r="11" spans="1:11" ht="21" customHeight="1" x14ac:dyDescent="0.25">
      <c r="A11" s="452"/>
      <c r="B11" s="452"/>
      <c r="C11" s="452"/>
      <c r="D11" s="452"/>
      <c r="E11" s="266"/>
      <c r="F11" s="23"/>
      <c r="G11" s="261" t="s">
        <v>207</v>
      </c>
      <c r="H11" s="261" t="s">
        <v>205</v>
      </c>
    </row>
    <row r="12" spans="1:11" ht="24" customHeight="1" x14ac:dyDescent="0.25">
      <c r="A12" s="452"/>
      <c r="B12" s="452"/>
      <c r="C12" s="452"/>
      <c r="D12" s="452"/>
      <c r="E12" s="65"/>
      <c r="F12" s="23"/>
    </row>
    <row r="13" spans="1:11" ht="30.6" customHeight="1" x14ac:dyDescent="0.25">
      <c r="A13" s="452"/>
      <c r="B13" s="452"/>
      <c r="C13" s="452"/>
      <c r="D13" s="452"/>
      <c r="E13" s="65"/>
      <c r="F13" s="23"/>
    </row>
    <row r="14" spans="1:11" ht="15" customHeight="1" x14ac:dyDescent="0.25">
      <c r="A14" s="309"/>
      <c r="B14" s="309"/>
      <c r="C14" s="309"/>
      <c r="D14" s="309"/>
      <c r="E14" s="65"/>
      <c r="F14" s="23"/>
    </row>
    <row r="15" spans="1:11" x14ac:dyDescent="0.25">
      <c r="A15" s="448" t="s">
        <v>154</v>
      </c>
      <c r="B15" s="448"/>
      <c r="C15" s="448"/>
      <c r="D15" s="448"/>
      <c r="E15" s="65"/>
      <c r="F15" s="23"/>
    </row>
    <row r="16" spans="1:11" ht="13.8" thickBot="1" x14ac:dyDescent="0.3">
      <c r="A16" s="24"/>
      <c r="C16" s="65"/>
      <c r="D16" s="65"/>
      <c r="E16" s="65"/>
      <c r="F16" s="23"/>
      <c r="J16" s="261"/>
      <c r="K16" s="261"/>
    </row>
    <row r="17" spans="1:11" x14ac:dyDescent="0.25">
      <c r="A17" s="25" t="s">
        <v>55</v>
      </c>
      <c r="B17" s="26"/>
      <c r="C17" s="139"/>
      <c r="D17" s="140"/>
      <c r="E17" s="65"/>
      <c r="F17" s="23"/>
      <c r="J17" s="261"/>
      <c r="K17" s="261"/>
    </row>
    <row r="18" spans="1:11" x14ac:dyDescent="0.25">
      <c r="A18" s="28"/>
      <c r="B18" s="29" t="s">
        <v>44</v>
      </c>
      <c r="C18" s="60"/>
      <c r="D18" s="30" t="s">
        <v>8</v>
      </c>
      <c r="E18" s="269" t="str">
        <f>IF(C18&gt;5000,"Error: scale reading too high",IF(C18&lt;0,"Error: scale reading should be positive",""))</f>
        <v/>
      </c>
      <c r="F18" s="23"/>
      <c r="J18" s="261"/>
      <c r="K18" s="261"/>
    </row>
    <row r="19" spans="1:11" x14ac:dyDescent="0.25">
      <c r="A19" s="31"/>
      <c r="B19" s="32" t="s">
        <v>45</v>
      </c>
      <c r="C19" s="60"/>
      <c r="D19" s="30" t="s">
        <v>8</v>
      </c>
      <c r="E19" s="269" t="str">
        <f>IF(C19&gt;5000,"Error: scale reading too high",IF(C19&lt;0,"Error: scale reading should be positive",""))</f>
        <v/>
      </c>
      <c r="F19" s="23"/>
      <c r="J19" s="261"/>
      <c r="K19" s="261"/>
    </row>
    <row r="20" spans="1:11" x14ac:dyDescent="0.25">
      <c r="A20" s="31"/>
      <c r="B20" s="32" t="s">
        <v>46</v>
      </c>
      <c r="C20" s="145">
        <f>Ballast!H46</f>
        <v>1606.8309348871826</v>
      </c>
      <c r="D20" s="30" t="s">
        <v>8</v>
      </c>
      <c r="E20" s="65"/>
      <c r="F20" s="23"/>
    </row>
    <row r="21" spans="1:11" x14ac:dyDescent="0.25">
      <c r="A21" s="33"/>
      <c r="B21" s="34" t="str">
        <f>IF((C18+C19-C20)&gt;0,"Total weight to remove:","Total weight to add:")</f>
        <v>Total weight to add:</v>
      </c>
      <c r="C21" s="147">
        <f>ABS(C18+C19-C20)</f>
        <v>1606.8309348871826</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-26.526879415144826</v>
      </c>
      <c r="D25" s="30"/>
      <c r="E25" t="str">
        <f>IF(B25&lt;-10,"Error: Check scale position",IF(B25&gt;30, "Error, check scale position",""))</f>
        <v/>
      </c>
      <c r="F25" s="23"/>
    </row>
    <row r="26" spans="1:11" x14ac:dyDescent="0.25">
      <c r="A26" s="40" t="s">
        <v>212</v>
      </c>
      <c r="B26" s="169">
        <f>Constants!C96-1</f>
        <v>50.611978830289658</v>
      </c>
      <c r="C26" s="149">
        <f>B26-$C$31</f>
        <v>23.085099415144832</v>
      </c>
      <c r="D26" s="30"/>
      <c r="E26" t="str">
        <f>IF(B26&lt;20,"Error: Check scale position",IF(B26&gt;70, "Error, check scale position",""))</f>
        <v/>
      </c>
      <c r="F26" s="23"/>
    </row>
    <row r="27" spans="1:11" x14ac:dyDescent="0.25">
      <c r="A27" s="31"/>
      <c r="C27" s="65"/>
      <c r="D27" s="30"/>
      <c r="E27" s="65"/>
      <c r="F27" s="23"/>
    </row>
    <row r="28" spans="1:11" ht="13.8" thickBot="1" x14ac:dyDescent="0.3">
      <c r="A28" s="41"/>
      <c r="B28" s="42" t="s">
        <v>68</v>
      </c>
      <c r="C28" s="137">
        <f>(C18*C25)+(C19*C26)</f>
        <v>0</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x14ac:dyDescent="0.25">
      <c r="A31" s="31"/>
      <c r="B31" s="45" t="s">
        <v>40</v>
      </c>
      <c r="C31" s="61">
        <f>Constants!E96</f>
        <v>27.526879415144826</v>
      </c>
      <c r="D31" s="152"/>
      <c r="E31" s="65"/>
      <c r="F31" s="23" t="s">
        <v>42</v>
      </c>
    </row>
    <row r="32" spans="1:11" ht="13.8" thickBot="1" x14ac:dyDescent="0.3">
      <c r="A32" s="31"/>
      <c r="B32" s="65"/>
      <c r="C32" s="65"/>
      <c r="D32" s="142"/>
      <c r="E32" s="65"/>
      <c r="F32" s="23" t="s">
        <v>62</v>
      </c>
    </row>
    <row r="33" spans="1:6"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160" t="s">
        <v>270</v>
      </c>
      <c r="B35" s="348">
        <f>VLOOKUP(Ballast!D18,Constants!B13:Q17,15,FALSE)</f>
        <v>0</v>
      </c>
      <c r="C35" s="351">
        <f t="shared" ref="C35:C42" si="0">B35-C$31</f>
        <v>-27.526879415144826</v>
      </c>
      <c r="D35" s="142"/>
      <c r="E35" s="65"/>
      <c r="F35" s="23"/>
    </row>
    <row r="36" spans="1:6" x14ac:dyDescent="0.25">
      <c r="A36" s="168" t="s">
        <v>271</v>
      </c>
      <c r="B36" s="349">
        <f>VLOOKUP(Ballast!D18,Constants!B13:Q17,16,FALSE)+IF(ISNA(B35),0,B35)</f>
        <v>0</v>
      </c>
      <c r="C36" s="352">
        <f t="shared" si="0"/>
        <v>-27.526879415144826</v>
      </c>
      <c r="D36" s="142"/>
      <c r="E36" s="65"/>
    </row>
    <row r="37" spans="1:6" x14ac:dyDescent="0.25">
      <c r="A37" s="168" t="s">
        <v>274</v>
      </c>
      <c r="B37" s="349">
        <f>IF(Ballast!D22&lt;&gt;"None",Constants!C92,#N/A)</f>
        <v>19.785620082003149</v>
      </c>
      <c r="C37" s="352">
        <f t="shared" si="0"/>
        <v>-7.7412593331416772</v>
      </c>
      <c r="D37" s="142"/>
      <c r="E37" s="65"/>
      <c r="F37" s="23"/>
    </row>
    <row r="38" spans="1:6" x14ac:dyDescent="0.25">
      <c r="A38" s="168" t="s">
        <v>275</v>
      </c>
      <c r="B38" s="349">
        <f>IF(Ballast!D22&lt;&gt;"None",B37+Constants!C92,Constants!C92)</f>
        <v>39.571240164006298</v>
      </c>
      <c r="C38" s="352">
        <f t="shared" si="0"/>
        <v>12.044360748861472</v>
      </c>
      <c r="D38" s="142"/>
      <c r="E38" s="346"/>
    </row>
    <row r="39" spans="1:6" x14ac:dyDescent="0.25">
      <c r="A39" s="168" t="s">
        <v>48</v>
      </c>
      <c r="B39" s="349">
        <f>Constants!C96*0.5</f>
        <v>25.805989415144829</v>
      </c>
      <c r="C39" s="352">
        <f t="shared" si="0"/>
        <v>-1.7208899999999971</v>
      </c>
      <c r="D39" s="142"/>
      <c r="E39" s="65"/>
      <c r="F39" s="23"/>
    </row>
    <row r="40" spans="1:6" x14ac:dyDescent="0.25">
      <c r="A40" s="168" t="s">
        <v>272</v>
      </c>
      <c r="B40" s="349">
        <f>B38+0.5*Constants!C94</f>
        <v>44.749698753370083</v>
      </c>
      <c r="C40" s="352">
        <f t="shared" si="0"/>
        <v>17.222819338225257</v>
      </c>
      <c r="D40" s="142"/>
      <c r="E40" s="65"/>
      <c r="F40" s="23"/>
    </row>
    <row r="41" spans="1:6" x14ac:dyDescent="0.25">
      <c r="A41" s="168" t="s">
        <v>276</v>
      </c>
      <c r="B41" s="349">
        <f>B38+Constants!C94</f>
        <v>49.928157342733869</v>
      </c>
      <c r="C41" s="352">
        <f t="shared" si="0"/>
        <v>22.401277927589042</v>
      </c>
      <c r="D41" s="142"/>
      <c r="E41" s="65"/>
      <c r="F41" s="23"/>
    </row>
    <row r="42" spans="1:6" ht="13.8" thickBot="1" x14ac:dyDescent="0.3">
      <c r="A42" s="162" t="s">
        <v>273</v>
      </c>
      <c r="B42" s="350">
        <f>B41+0.64+Constants!C93</f>
        <v>71.819378912292805</v>
      </c>
      <c r="C42" s="353">
        <f t="shared" si="0"/>
        <v>44.292499497147979</v>
      </c>
      <c r="D42" s="153"/>
      <c r="E42" s="65"/>
      <c r="F42" s="23"/>
    </row>
    <row r="43" spans="1:6" ht="13.8" thickBot="1" x14ac:dyDescent="0.3">
      <c r="B43" s="65"/>
      <c r="C43" s="65"/>
      <c r="D43" s="65"/>
      <c r="E43" s="65"/>
      <c r="F43" s="23"/>
    </row>
    <row r="44" spans="1:6" x14ac:dyDescent="0.25">
      <c r="A44" s="44" t="s">
        <v>209</v>
      </c>
      <c r="B44" s="139"/>
      <c r="C44" s="139"/>
      <c r="D44" s="140"/>
      <c r="E44" s="65"/>
      <c r="F44" s="23"/>
    </row>
    <row r="45" spans="1:6" ht="13.8" thickBot="1" x14ac:dyDescent="0.3">
      <c r="A45" s="31"/>
      <c r="B45" s="65"/>
      <c r="C45" s="65"/>
      <c r="D45" s="142"/>
      <c r="E45" s="65"/>
      <c r="F45" s="23"/>
    </row>
    <row r="46" spans="1:6" ht="26.4" x14ac:dyDescent="0.25">
      <c r="A46" s="46" t="s">
        <v>69</v>
      </c>
      <c r="B46" s="46" t="s">
        <v>53</v>
      </c>
      <c r="C46" s="26" t="s">
        <v>208</v>
      </c>
      <c r="D46" s="125" t="s">
        <v>222</v>
      </c>
      <c r="E46" s="158" t="s">
        <v>82</v>
      </c>
      <c r="F46" s="23"/>
    </row>
    <row r="47" spans="1:6" ht="13.8" thickBot="1" x14ac:dyDescent="0.3">
      <c r="A47" s="47" t="s">
        <v>70</v>
      </c>
      <c r="B47" s="47"/>
      <c r="C47" s="49" t="s">
        <v>58</v>
      </c>
      <c r="D47" s="47" t="s">
        <v>59</v>
      </c>
      <c r="E47" s="159" t="s">
        <v>214</v>
      </c>
      <c r="F47" s="23"/>
    </row>
    <row r="48" spans="1:6" x14ac:dyDescent="0.25">
      <c r="A48" s="356">
        <f>IF(Ballast!D18=Constants!B13,1,0)</f>
        <v>0</v>
      </c>
      <c r="B48" s="50" t="str">
        <f>A35</f>
        <v>FWD Plates</v>
      </c>
      <c r="C48" s="63">
        <v>0</v>
      </c>
      <c r="D48" s="154">
        <f t="shared" ref="D48:D55" si="1">C35*C48</f>
        <v>0</v>
      </c>
      <c r="E48" s="66"/>
      <c r="F48" s="69" t="str">
        <f t="shared" ref="F48:F56" si="2">IF(ABS(C48)&gt;5000,"Error: Weight adjustment too high","")</f>
        <v/>
      </c>
    </row>
    <row r="49" spans="1:8" x14ac:dyDescent="0.25">
      <c r="A49" s="63">
        <v>1</v>
      </c>
      <c r="B49" s="50" t="str">
        <f t="shared" ref="B49:B55" si="3">A36</f>
        <v>FWD Ballast Bottles</v>
      </c>
      <c r="C49" s="63">
        <v>0</v>
      </c>
      <c r="D49" s="154">
        <f t="shared" si="1"/>
        <v>0</v>
      </c>
      <c r="E49" s="67"/>
      <c r="F49" s="69" t="str">
        <f t="shared" si="2"/>
        <v/>
      </c>
    </row>
    <row r="50" spans="1:8" x14ac:dyDescent="0.25">
      <c r="A50" s="347">
        <f>IF(Ballast!D22&lt;&gt;"None",1,0)</f>
        <v>1</v>
      </c>
      <c r="B50" s="50" t="str">
        <f t="shared" si="3"/>
        <v>FWD Secondary Bay Pie Weights</v>
      </c>
      <c r="C50" s="63">
        <v>0</v>
      </c>
      <c r="D50" s="154">
        <f t="shared" si="1"/>
        <v>0</v>
      </c>
      <c r="E50" s="67"/>
      <c r="F50" s="69" t="str">
        <f t="shared" si="2"/>
        <v/>
      </c>
    </row>
    <row r="51" spans="1:8" x14ac:dyDescent="0.25">
      <c r="A51" s="63">
        <v>1</v>
      </c>
      <c r="B51" s="50" t="str">
        <f t="shared" si="3"/>
        <v>FWD Primary Pie Weights</v>
      </c>
      <c r="C51" s="63">
        <v>0</v>
      </c>
      <c r="D51" s="154">
        <f t="shared" si="1"/>
        <v>0</v>
      </c>
      <c r="E51" s="67"/>
      <c r="F51" s="69" t="str">
        <f t="shared" si="2"/>
        <v/>
      </c>
    </row>
    <row r="52" spans="1:8" x14ac:dyDescent="0.25">
      <c r="A52" s="63">
        <v>1</v>
      </c>
      <c r="B52" s="50" t="str">
        <f t="shared" si="3"/>
        <v>Center</v>
      </c>
      <c r="C52" s="63">
        <v>0</v>
      </c>
      <c r="D52" s="154">
        <f t="shared" si="1"/>
        <v>0</v>
      </c>
      <c r="E52" s="67"/>
      <c r="F52" s="69" t="str">
        <f t="shared" si="2"/>
        <v/>
      </c>
    </row>
    <row r="53" spans="1:8" x14ac:dyDescent="0.25">
      <c r="A53" s="63">
        <v>1</v>
      </c>
      <c r="B53" s="50" t="str">
        <f t="shared" si="3"/>
        <v>Wing Rail Slugs</v>
      </c>
      <c r="C53" s="63">
        <v>0</v>
      </c>
      <c r="D53" s="154">
        <f t="shared" si="1"/>
        <v>0</v>
      </c>
      <c r="E53" s="67"/>
      <c r="F53" s="69" t="str">
        <f t="shared" si="2"/>
        <v/>
      </c>
    </row>
    <row r="54" spans="1:8" x14ac:dyDescent="0.25">
      <c r="A54" s="63">
        <v>1</v>
      </c>
      <c r="B54" s="50" t="str">
        <f t="shared" si="3"/>
        <v>AFT Primary Bay Pie Weights</v>
      </c>
      <c r="C54" s="63">
        <v>0</v>
      </c>
      <c r="D54" s="154">
        <f t="shared" si="1"/>
        <v>0</v>
      </c>
      <c r="E54" s="67"/>
      <c r="F54" s="69" t="str">
        <f t="shared" si="2"/>
        <v/>
      </c>
    </row>
    <row r="55" spans="1:8" ht="13.8" thickBot="1" x14ac:dyDescent="0.3">
      <c r="A55" s="64">
        <v>1</v>
      </c>
      <c r="B55" s="47" t="str">
        <f t="shared" si="3"/>
        <v>AFT Ballast Bottles</v>
      </c>
      <c r="C55" s="64">
        <v>0</v>
      </c>
      <c r="D55" s="155">
        <f t="shared" si="1"/>
        <v>0</v>
      </c>
      <c r="E55" s="68"/>
      <c r="F55" s="69" t="str">
        <f t="shared" si="2"/>
        <v/>
      </c>
    </row>
    <row r="56" spans="1:8" ht="13.8" thickBot="1" x14ac:dyDescent="0.3">
      <c r="A56" s="150"/>
      <c r="B56" s="156"/>
      <c r="C56" s="137">
        <f>SUM(C48:C55)</f>
        <v>0</v>
      </c>
      <c r="D56" s="157">
        <f>SUMIF(D48:D55,"&lt;&gt;#N/A")</f>
        <v>0</v>
      </c>
      <c r="E56" s="65"/>
      <c r="F56" s="69" t="str">
        <f t="shared" si="2"/>
        <v/>
      </c>
    </row>
    <row r="57" spans="1:8" ht="13.8" thickBot="1" x14ac:dyDescent="0.3">
      <c r="A57" s="65"/>
      <c r="B57" s="65"/>
      <c r="C57" s="65"/>
      <c r="D57" s="65"/>
      <c r="E57" s="65"/>
      <c r="F57" s="23"/>
    </row>
    <row r="58" spans="1:8" ht="13.8" thickBot="1" x14ac:dyDescent="0.3">
      <c r="A58" s="311" t="s">
        <v>215</v>
      </c>
      <c r="B58" s="312"/>
      <c r="C58" s="312"/>
      <c r="D58" s="312"/>
      <c r="E58" s="313"/>
      <c r="F58" s="51"/>
    </row>
    <row r="59" spans="1:8" x14ac:dyDescent="0.25">
      <c r="A59" s="31"/>
      <c r="B59" s="52">
        <f>ABS((C18+C19-C20)+C56)</f>
        <v>1606.8309348871826</v>
      </c>
      <c r="C59" s="454" t="str">
        <f>IF(((C18+C19-C20)+C56)&gt;=0,"additional grams need to be removed", "additional grams need to be added")</f>
        <v>additional grams need to be added</v>
      </c>
      <c r="D59" s="454"/>
      <c r="E59" s="455"/>
      <c r="F59" s="23"/>
      <c r="H59">
        <f>IF(A48,1,IF(A49,2,IF(A50,3,IF(A51,4,IF(A52,5,IF(A53,6,IF(A54,7,"Error")))))))</f>
        <v>2</v>
      </c>
    </row>
    <row r="60" spans="1:8" x14ac:dyDescent="0.25">
      <c r="A60" s="31"/>
      <c r="B60" s="36">
        <f>ABS((C28+D56)/(INDEX(C35:C42,IF(A55,8,IF(A54,7,IF(A53,6,IF(A52,5,IF(A51,4,IF(A50,3,IF(A49,2,"error"))))))))-INDEX(C35:C42,IF(A48,1,IF(A49,2,IF(A50,3,IF(A51,4,IF(A52,5,IF(A53,6,IF(A54,7,"Error"))))))))))</f>
        <v>0</v>
      </c>
      <c r="C60" s="456" t="str">
        <f>CONCATENATE("Grams need to move from ",IF((C28+D56)&lt;=0,INDEX(A35:A42,H59,1),INDEX(A35:A42,H60,1))," to ",IF((C28+D56)&lt;=0,INDEX(A35:A42,H60,1),INDEX(A35:A42,H59,1)))</f>
        <v>Grams need to move from FWD Ballast Bottles to AFT Ballast Bottles</v>
      </c>
      <c r="D60" s="456"/>
      <c r="E60" s="457"/>
      <c r="F60" s="23"/>
      <c r="H60">
        <f>IF(A55,8,IF(A54,7,IF(A53,6,IF(A52,5,IF(A51,4,IF(A50,3,IF(A49,2,"error")))))))</f>
        <v>8</v>
      </c>
    </row>
    <row r="61" spans="1:8" x14ac:dyDescent="0.25">
      <c r="A61" s="31"/>
      <c r="B61" s="36">
        <f>INDEX(C48:C55,IF(A48,1,IF(A49,2,IF(A50,3,IF(A51,4,IF(A52,5,IF(A53,6,IF(A54,7,"Error"))))))))+(C28+D56)/(INDEX(C35:C42,IF(A55,8,IF(A54,7,IF(A53,6,IF(A52,5,IF(A51,4,IF(A50,3,IF(A49,2,"error"))))))))-INDEX(C35:C42,IF(A48,1,IF(A49,2,IF(A50,3,IF(A51,4,IF(A52,5,IF(A53,6,IF(A54,7,"Error")))))))))</f>
        <v>0</v>
      </c>
      <c r="C61" s="458" t="str">
        <f>CONCATENATE("Change ",INDEX(A35:A42,IF(A48,1,IF(A49,2,IF(A50,3,IF(A51,4,IF(A52,5,IF(A53,6,IF(A54,7,"Error"))))))),1)," to this:")</f>
        <v>Change FWD Ballast Bottles to this:</v>
      </c>
      <c r="D61" s="458"/>
      <c r="E61" s="459"/>
      <c r="F61" s="23" t="s">
        <v>77</v>
      </c>
    </row>
    <row r="62" spans="1:8" ht="13.8" thickBot="1" x14ac:dyDescent="0.3">
      <c r="A62" s="41"/>
      <c r="B62" s="54">
        <f>INDEX(C48:C55,IF(A55,8,IF(A54,7,IF(A53,6,IF(A52,5,IF(A51,4,IF(A50,3,IF(A49,2,"error"))))))))-((C28+D56)/(INDEX(C35:C42,IF(A55,8,IF(A54,7,IF(A53,6,IF(A52,5,IF(A51,4,IF(A50,3,IF(A49,2,"error"))))))))-INDEX(C35:C42,IF(A48,1,IF(A49,2,IF(A50,3,IF(A51,4,IF(A52,5,IF(A53,6,IF(A54,7,"Error"))))))))))</f>
        <v>0</v>
      </c>
      <c r="C62" s="460" t="str">
        <f>CONCATENATE("Change ",INDEX(A35:A42,IF(A55,8,IF(A54,7,IF(A53,6,IF(A52,5,IF(A51,4,IF(A50,3,IF(A49,2,"error"))))))),1)," to this:")</f>
        <v>Change AFT Ballast Bottles to this:</v>
      </c>
      <c r="D62" s="460"/>
      <c r="E62" s="461"/>
      <c r="F62" s="23" t="s">
        <v>78</v>
      </c>
    </row>
    <row r="63" spans="1:8" x14ac:dyDescent="0.25">
      <c r="B63" s="36"/>
      <c r="C63" s="53"/>
    </row>
    <row r="64" spans="1:8" ht="15" customHeight="1" x14ac:dyDescent="0.25">
      <c r="B64" s="36"/>
      <c r="C64" s="53"/>
      <c r="D64" s="235"/>
    </row>
    <row r="65" spans="1:6" s="1" customFormat="1" ht="2.25" hidden="1" customHeight="1" x14ac:dyDescent="0.25"/>
    <row r="66" spans="1:6" s="1" customFormat="1" ht="38.25" customHeight="1" x14ac:dyDescent="0.25">
      <c r="A66" s="23" t="s">
        <v>75</v>
      </c>
      <c r="B66"/>
      <c r="C66"/>
      <c r="D66"/>
      <c r="E66"/>
      <c r="F66" s="23"/>
    </row>
    <row r="67" spans="1:6" s="1" customFormat="1" ht="18" customHeight="1" x14ac:dyDescent="0.25">
      <c r="A67" s="449" t="s">
        <v>76</v>
      </c>
      <c r="B67" s="453"/>
      <c r="C67" s="453"/>
      <c r="D67" s="453"/>
      <c r="E67" s="56"/>
      <c r="F67" s="57"/>
    </row>
    <row r="68" spans="1:6" s="1" customFormat="1" ht="51.6" customHeight="1" x14ac:dyDescent="0.25">
      <c r="A68" s="444" t="s">
        <v>160</v>
      </c>
      <c r="B68" s="453"/>
      <c r="C68" s="453"/>
      <c r="D68" s="453"/>
      <c r="E68" s="58"/>
      <c r="F68" s="57"/>
    </row>
    <row r="69" spans="1:6" s="1" customFormat="1" ht="54.6" customHeight="1" x14ac:dyDescent="0.25">
      <c r="A69" s="444" t="s">
        <v>161</v>
      </c>
      <c r="B69" s="453"/>
      <c r="C69" s="453"/>
      <c r="D69" s="453"/>
      <c r="E69" s="58"/>
      <c r="F69" s="57"/>
    </row>
    <row r="70" spans="1:6" s="1" customFormat="1" ht="52.95" customHeight="1" x14ac:dyDescent="0.25">
      <c r="A70" s="444" t="s">
        <v>162</v>
      </c>
      <c r="B70" s="453"/>
      <c r="C70" s="453"/>
      <c r="D70" s="453"/>
      <c r="E70" s="58"/>
      <c r="F70" s="57"/>
    </row>
    <row r="71" spans="1:6" s="1" customFormat="1" ht="109.2" customHeight="1" x14ac:dyDescent="0.25">
      <c r="A71" s="444" t="s">
        <v>163</v>
      </c>
      <c r="B71" s="453"/>
      <c r="C71" s="453"/>
      <c r="D71" s="453"/>
      <c r="E71" s="58"/>
      <c r="F71" s="57"/>
    </row>
    <row r="72" spans="1:6" ht="43.95" customHeight="1" x14ac:dyDescent="0.25">
      <c r="A72" s="444" t="s">
        <v>164</v>
      </c>
      <c r="B72" s="453"/>
      <c r="C72" s="453"/>
      <c r="D72" s="453"/>
      <c r="E72" s="58"/>
      <c r="F72" s="57"/>
    </row>
    <row r="73" spans="1:6" ht="30" customHeight="1" x14ac:dyDescent="0.25">
      <c r="A73" s="445" t="s">
        <v>79</v>
      </c>
      <c r="B73" s="445"/>
      <c r="C73" s="445"/>
      <c r="D73" s="445"/>
      <c r="F73" s="23"/>
    </row>
    <row r="74" spans="1:6" s="58" customFormat="1" ht="13.95" customHeight="1" x14ac:dyDescent="0.25">
      <c r="A74"/>
      <c r="B74"/>
      <c r="C74" s="59"/>
      <c r="D74" s="36"/>
      <c r="E74"/>
      <c r="F74" s="23"/>
    </row>
    <row r="75" spans="1:6" s="58" customFormat="1" ht="37.200000000000003" customHeight="1" x14ac:dyDescent="0.25">
      <c r="A75" t="s">
        <v>83</v>
      </c>
      <c r="B75"/>
      <c r="C75" s="59"/>
      <c r="D75" s="36"/>
      <c r="E75"/>
      <c r="F75" s="23"/>
    </row>
    <row r="76" spans="1:6" s="58" customFormat="1" ht="13.95" customHeight="1" x14ac:dyDescent="0.25">
      <c r="A76"/>
      <c r="B76"/>
      <c r="C76"/>
      <c r="D76"/>
      <c r="E76"/>
      <c r="F76"/>
    </row>
    <row r="77" spans="1:6" s="58" customFormat="1" ht="16.2" customHeight="1" x14ac:dyDescent="0.25">
      <c r="A77"/>
      <c r="B77"/>
      <c r="C77"/>
      <c r="D77"/>
      <c r="E77"/>
      <c r="F77"/>
    </row>
    <row r="78" spans="1:6" s="58" customFormat="1" ht="13.95" customHeight="1" x14ac:dyDescent="0.25">
      <c r="A78"/>
      <c r="B78"/>
      <c r="C78"/>
      <c r="D78"/>
      <c r="E78"/>
      <c r="F78"/>
    </row>
    <row r="79" spans="1:6" s="58" customFormat="1" ht="13.95" customHeight="1" x14ac:dyDescent="0.25">
      <c r="A79"/>
      <c r="B79"/>
      <c r="C79"/>
      <c r="D79"/>
      <c r="E79"/>
      <c r="F79"/>
    </row>
    <row r="80" spans="1:6" ht="15" customHeight="1" x14ac:dyDescent="0.25"/>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&amp;C&amp;F</oddHeader>
    <oddFooter>&amp;L&amp;1#&amp;"Calibri,Regular"&amp;10&amp;K000000Teledyne Confidential; Commercially Sensitive Business Data&amp;C&amp;A</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K86"/>
  <sheetViews>
    <sheetView zoomScaleNormal="100" workbookViewId="0">
      <selection activeCell="F9" sqref="F9"/>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24.44140625" customWidth="1"/>
    <col min="6" max="6" width="86.6640625" bestFit="1" customWidth="1"/>
    <col min="8" max="8" width="9.109375" hidden="1"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5" t="str">
        <f>IF(ISBLANK(Ballast!D15),"",Ballast!D15)</f>
        <v/>
      </c>
      <c r="C7" s="451" t="str">
        <f>IF(Ballast!D18=Constants!B15,"",IF(Ballast!D18=Constants!B16,"",IF(Ballast!D18=Constants!B17,"","Wrong Generation Glider Selected")))</f>
        <v/>
      </c>
      <c r="D7" s="65"/>
      <c r="E7" s="65"/>
      <c r="F7" s="23"/>
    </row>
    <row r="8" spans="1:11" ht="14.25" customHeight="1" thickBot="1" x14ac:dyDescent="0.3">
      <c r="A8" s="127" t="s">
        <v>1</v>
      </c>
      <c r="B8" s="306" t="str">
        <f>IF(ISBLANK(Ballast!D17),"",Ballast!D17)</f>
        <v/>
      </c>
      <c r="C8" s="451"/>
      <c r="D8" s="65"/>
      <c r="E8" s="65"/>
      <c r="F8" s="23"/>
    </row>
    <row r="9" spans="1:11" ht="18" customHeight="1" x14ac:dyDescent="0.25">
      <c r="A9" s="309"/>
      <c r="B9" s="309"/>
      <c r="C9" s="309"/>
      <c r="D9" s="309"/>
      <c r="F9" s="23"/>
      <c r="G9" s="261" t="s">
        <v>202</v>
      </c>
      <c r="H9" s="261" t="s">
        <v>203</v>
      </c>
    </row>
    <row r="10" spans="1:11" ht="24.6" customHeight="1" x14ac:dyDescent="0.25">
      <c r="A10" s="452" t="str">
        <f>VLOOKUP(Constants!B104, Constants!B101:D102, 3, FALSE)</f>
        <v>Picture 6</v>
      </c>
      <c r="B10" s="452"/>
      <c r="C10" s="452"/>
      <c r="D10" s="452"/>
      <c r="E10" s="65"/>
      <c r="F10" s="23"/>
      <c r="G10" s="261" t="s">
        <v>206</v>
      </c>
      <c r="H10" s="261" t="s">
        <v>204</v>
      </c>
    </row>
    <row r="11" spans="1:11" ht="28.95" customHeight="1" x14ac:dyDescent="0.25">
      <c r="A11" s="452"/>
      <c r="B11" s="452"/>
      <c r="C11" s="452"/>
      <c r="D11" s="452"/>
      <c r="E11" s="266"/>
      <c r="F11" s="23"/>
      <c r="G11" s="261" t="s">
        <v>207</v>
      </c>
      <c r="H11" s="261" t="s">
        <v>205</v>
      </c>
    </row>
    <row r="12" spans="1:11" ht="29.4" customHeight="1" x14ac:dyDescent="0.25">
      <c r="A12" s="452"/>
      <c r="B12" s="452"/>
      <c r="C12" s="452"/>
      <c r="D12" s="452"/>
      <c r="E12" s="65"/>
      <c r="F12" s="23"/>
    </row>
    <row r="13" spans="1:11" ht="19.95" customHeight="1" x14ac:dyDescent="0.25">
      <c r="A13" s="452"/>
      <c r="B13" s="452"/>
      <c r="C13" s="452"/>
      <c r="D13" s="452"/>
      <c r="E13" s="65"/>
      <c r="F13" s="23"/>
    </row>
    <row r="14" spans="1:11" ht="15" customHeight="1" x14ac:dyDescent="0.25">
      <c r="A14" s="309"/>
      <c r="B14" s="309"/>
      <c r="C14" s="309"/>
      <c r="D14" s="309"/>
      <c r="E14" s="65"/>
      <c r="F14" s="23"/>
    </row>
    <row r="15" spans="1:11" x14ac:dyDescent="0.25">
      <c r="A15" s="448" t="s">
        <v>154</v>
      </c>
      <c r="B15" s="448"/>
      <c r="C15" s="448"/>
      <c r="D15" s="448"/>
      <c r="E15" s="65"/>
      <c r="F15" s="23"/>
    </row>
    <row r="16" spans="1:11" ht="13.8" thickBot="1" x14ac:dyDescent="0.3">
      <c r="A16" s="24"/>
      <c r="C16" s="65"/>
      <c r="D16" s="65"/>
      <c r="E16" s="65"/>
      <c r="F16" s="23"/>
      <c r="J16" s="261"/>
      <c r="K16" s="261"/>
    </row>
    <row r="17" spans="1:11" x14ac:dyDescent="0.25">
      <c r="A17" s="25" t="s">
        <v>55</v>
      </c>
      <c r="B17" s="26"/>
      <c r="C17" s="139"/>
      <c r="D17" s="140"/>
      <c r="E17" s="65"/>
      <c r="F17" s="23"/>
      <c r="J17" s="261"/>
      <c r="K17" s="261"/>
    </row>
    <row r="18" spans="1:11" x14ac:dyDescent="0.25">
      <c r="A18" s="28"/>
      <c r="B18" s="29" t="s">
        <v>44</v>
      </c>
      <c r="C18" s="60">
        <v>515</v>
      </c>
      <c r="D18" s="30" t="s">
        <v>8</v>
      </c>
      <c r="E18" s="269" t="str">
        <f>IF(C18&gt;5000,"Error: scale reading too high",IF(C18&lt;0,"Error: scale reading should be positive",""))</f>
        <v/>
      </c>
      <c r="F18" s="23"/>
      <c r="J18" s="261"/>
      <c r="K18" s="261"/>
    </row>
    <row r="19" spans="1:11" x14ac:dyDescent="0.25">
      <c r="A19" s="31"/>
      <c r="B19" s="32" t="s">
        <v>45</v>
      </c>
      <c r="C19" s="60">
        <v>550</v>
      </c>
      <c r="D19" s="30" t="s">
        <v>8</v>
      </c>
      <c r="E19" s="269" t="str">
        <f>IF(C19&gt;5000,"Error: scale reading too high",IF(C19&lt;0,"Error: scale reading should be positive",""))</f>
        <v/>
      </c>
      <c r="F19" s="23"/>
      <c r="J19" s="261"/>
      <c r="K19" s="261"/>
    </row>
    <row r="20" spans="1:11" x14ac:dyDescent="0.25">
      <c r="A20" s="31"/>
      <c r="B20" s="32" t="s">
        <v>46</v>
      </c>
      <c r="C20" s="145">
        <f>Ballast!H46</f>
        <v>1606.8309348871826</v>
      </c>
      <c r="D20" s="30" t="s">
        <v>8</v>
      </c>
      <c r="E20" s="65"/>
      <c r="F20" s="23"/>
    </row>
    <row r="21" spans="1:11" x14ac:dyDescent="0.25">
      <c r="A21" s="33"/>
      <c r="B21" s="34" t="str">
        <f>IF((C18+C19-C20)&gt;0,"Total weight to remove:","Total weight to add:")</f>
        <v>Total weight to add:</v>
      </c>
      <c r="C21" s="147">
        <f>ABS(C18+C19-C20)</f>
        <v>541.83093488718259</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-26.526879415144826</v>
      </c>
      <c r="D25" s="30"/>
      <c r="E25" t="str">
        <f>IF(B25&lt;-10,"Error: Check scale position",IF(B25&gt;30, "Error, check scale position",""))</f>
        <v/>
      </c>
      <c r="F25" s="23"/>
    </row>
    <row r="26" spans="1:11" x14ac:dyDescent="0.25">
      <c r="A26" s="40" t="s">
        <v>212</v>
      </c>
      <c r="B26" s="169">
        <f>Constants!C96-1</f>
        <v>50.611978830289658</v>
      </c>
      <c r="C26" s="149">
        <f>B26-$C$31</f>
        <v>23.085099415144832</v>
      </c>
      <c r="D26" s="30"/>
      <c r="E26" t="str">
        <f>IF(B26&lt;20,"Error: Check scale position",IF(B26&gt;70, "Error, check scale position",""))</f>
        <v/>
      </c>
      <c r="F26" s="23"/>
    </row>
    <row r="27" spans="1:11" x14ac:dyDescent="0.25">
      <c r="A27" s="31"/>
      <c r="C27" s="65"/>
      <c r="D27" s="30"/>
      <c r="E27" s="65"/>
      <c r="F27" s="23"/>
    </row>
    <row r="28" spans="1:11" ht="13.8" thickBot="1" x14ac:dyDescent="0.3">
      <c r="A28" s="41"/>
      <c r="B28" s="42" t="s">
        <v>68</v>
      </c>
      <c r="C28" s="137">
        <f>(C18*C25)+(C19*C26)</f>
        <v>-964.53822046992718</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x14ac:dyDescent="0.25">
      <c r="A31" s="31"/>
      <c r="B31" s="45" t="s">
        <v>40</v>
      </c>
      <c r="C31" s="61">
        <f>Constants!E96</f>
        <v>27.526879415144826</v>
      </c>
      <c r="D31" s="152"/>
      <c r="E31" s="65"/>
      <c r="F31" s="23" t="s">
        <v>42</v>
      </c>
    </row>
    <row r="32" spans="1:11" ht="13.8" thickBot="1" x14ac:dyDescent="0.3">
      <c r="A32" s="31"/>
      <c r="B32" s="65"/>
      <c r="C32" s="65"/>
      <c r="D32" s="142"/>
      <c r="E32" s="65"/>
      <c r="F32" s="23" t="s">
        <v>62</v>
      </c>
    </row>
    <row r="33" spans="1:6"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316" t="s">
        <v>277</v>
      </c>
      <c r="B35" s="354">
        <v>-4.55</v>
      </c>
      <c r="C35" s="351">
        <f>B35-C$31</f>
        <v>-32.076879415144823</v>
      </c>
      <c r="D35" s="142"/>
      <c r="E35" s="65"/>
      <c r="F35" s="23"/>
    </row>
    <row r="36" spans="1:6" x14ac:dyDescent="0.25">
      <c r="A36" s="40" t="s">
        <v>270</v>
      </c>
      <c r="B36" s="349">
        <f>VLOOKUP(Ballast!D18,Constants!B13:Q17,15,FALSE)</f>
        <v>0</v>
      </c>
      <c r="C36" s="352">
        <f t="shared" ref="C36:C43" si="0">B36-C$31</f>
        <v>-27.526879415144826</v>
      </c>
      <c r="D36" s="142"/>
      <c r="E36" s="65"/>
      <c r="F36" s="23"/>
    </row>
    <row r="37" spans="1:6" x14ac:dyDescent="0.25">
      <c r="A37" s="314" t="s">
        <v>271</v>
      </c>
      <c r="B37" s="355">
        <f>VLOOKUP(Ballast!D18,Constants!B13:Q17,16,FALSE)+IF(ISNA(B36),0,B36)</f>
        <v>0</v>
      </c>
      <c r="C37" s="352">
        <f t="shared" si="0"/>
        <v>-27.526879415144826</v>
      </c>
      <c r="D37" s="142"/>
      <c r="E37" s="65"/>
    </row>
    <row r="38" spans="1:6" x14ac:dyDescent="0.25">
      <c r="A38" s="314" t="s">
        <v>274</v>
      </c>
      <c r="B38" s="349">
        <f>IF(Ballast!D22&lt;&gt;"None",Constants!C92,#N/A)</f>
        <v>19.785620082003149</v>
      </c>
      <c r="C38" s="352">
        <f t="shared" si="0"/>
        <v>-7.7412593331416772</v>
      </c>
      <c r="D38" s="142"/>
      <c r="E38" s="65"/>
      <c r="F38" s="23"/>
    </row>
    <row r="39" spans="1:6" x14ac:dyDescent="0.25">
      <c r="A39" s="314" t="s">
        <v>275</v>
      </c>
      <c r="B39" s="349">
        <f>IF(Ballast!D22&lt;&gt;"None",B38+Constants!C92,Constants!C92)</f>
        <v>39.571240164006298</v>
      </c>
      <c r="C39" s="352">
        <f t="shared" si="0"/>
        <v>12.044360748861472</v>
      </c>
      <c r="D39" s="142"/>
      <c r="E39" s="65"/>
      <c r="F39" s="23"/>
    </row>
    <row r="40" spans="1:6" x14ac:dyDescent="0.25">
      <c r="A40" s="314" t="s">
        <v>48</v>
      </c>
      <c r="B40" s="349">
        <f>Constants!C96*0.5</f>
        <v>25.805989415144829</v>
      </c>
      <c r="C40" s="352">
        <f t="shared" si="0"/>
        <v>-1.7208899999999971</v>
      </c>
      <c r="D40" s="142"/>
      <c r="E40" s="65"/>
      <c r="F40" s="23"/>
    </row>
    <row r="41" spans="1:6" x14ac:dyDescent="0.25">
      <c r="A41" s="314" t="s">
        <v>272</v>
      </c>
      <c r="B41" s="349">
        <f>B39+0.5*Constants!C94</f>
        <v>44.749698753370083</v>
      </c>
      <c r="C41" s="352">
        <f t="shared" si="0"/>
        <v>17.222819338225257</v>
      </c>
      <c r="D41" s="142"/>
      <c r="E41" s="65"/>
      <c r="F41" s="23"/>
    </row>
    <row r="42" spans="1:6" x14ac:dyDescent="0.25">
      <c r="A42" s="314" t="s">
        <v>276</v>
      </c>
      <c r="B42" s="349">
        <f>B39+Constants!C94</f>
        <v>49.928157342733869</v>
      </c>
      <c r="C42" s="352">
        <f t="shared" si="0"/>
        <v>22.401277927589042</v>
      </c>
      <c r="D42" s="142"/>
      <c r="E42" s="65"/>
      <c r="F42" s="377">
        <f>13.6818+Constants!C93+Constants!C94+IF(Ballast!D22&lt;&gt;"None",IF(Ballast!D22&lt;&gt;"None",Constants!C92,#N/A)+Constants!C92,Constants!C92)</f>
        <v>84.8611789122928</v>
      </c>
    </row>
    <row r="43" spans="1:6" x14ac:dyDescent="0.25">
      <c r="A43" s="314" t="s">
        <v>278</v>
      </c>
      <c r="B43" s="349">
        <f>B42+Constants!C93</f>
        <v>71.179378912292805</v>
      </c>
      <c r="C43" s="352">
        <f t="shared" si="0"/>
        <v>43.652499497147979</v>
      </c>
      <c r="D43" s="142"/>
      <c r="E43" s="65"/>
      <c r="F43" s="23"/>
    </row>
    <row r="44" spans="1:6" x14ac:dyDescent="0.25">
      <c r="A44" s="40" t="s">
        <v>273</v>
      </c>
      <c r="B44" s="349">
        <f>B42+0.64+Constants!C93</f>
        <v>71.819378912292805</v>
      </c>
      <c r="C44" s="352">
        <f>B44-C$31</f>
        <v>44.292499497147979</v>
      </c>
      <c r="D44" s="142"/>
      <c r="E44" s="65"/>
      <c r="F44" s="23"/>
    </row>
    <row r="45" spans="1:6" ht="13.8" thickBot="1" x14ac:dyDescent="0.3">
      <c r="A45" s="315" t="s">
        <v>295</v>
      </c>
      <c r="B45" s="350">
        <f>B43+13.6818</f>
        <v>84.8611789122928</v>
      </c>
      <c r="C45" s="353">
        <f>B45-C$31</f>
        <v>57.334299497147974</v>
      </c>
      <c r="D45" s="153"/>
      <c r="E45" s="65"/>
      <c r="F45" s="23"/>
    </row>
    <row r="46" spans="1:6" ht="13.8" thickBot="1" x14ac:dyDescent="0.3">
      <c r="B46" s="65"/>
      <c r="C46" s="65"/>
      <c r="D46" s="65"/>
      <c r="E46" s="65"/>
      <c r="F46" s="23"/>
    </row>
    <row r="47" spans="1:6" ht="17.399999999999999" customHeight="1" x14ac:dyDescent="0.25">
      <c r="A47" s="44" t="s">
        <v>209</v>
      </c>
      <c r="B47" s="139"/>
      <c r="C47" s="139"/>
      <c r="D47" s="140"/>
      <c r="E47" s="65"/>
      <c r="F47" s="23"/>
    </row>
    <row r="48" spans="1:6" ht="1.95" customHeight="1" thickBot="1" x14ac:dyDescent="0.3">
      <c r="A48" s="31"/>
      <c r="B48" s="65"/>
      <c r="C48" s="65"/>
      <c r="D48" s="142"/>
      <c r="E48" s="65"/>
      <c r="F48" s="23"/>
    </row>
    <row r="49" spans="1:6" ht="26.4" x14ac:dyDescent="0.25">
      <c r="A49" s="46" t="s">
        <v>69</v>
      </c>
      <c r="B49" s="46" t="s">
        <v>53</v>
      </c>
      <c r="C49" s="26" t="s">
        <v>208</v>
      </c>
      <c r="D49" s="125" t="s">
        <v>222</v>
      </c>
      <c r="E49" s="158" t="s">
        <v>82</v>
      </c>
      <c r="F49" s="23"/>
    </row>
    <row r="50" spans="1:6" ht="13.8" thickBot="1" x14ac:dyDescent="0.3">
      <c r="A50" s="47" t="s">
        <v>70</v>
      </c>
      <c r="B50" s="47"/>
      <c r="C50" s="49" t="s">
        <v>58</v>
      </c>
      <c r="D50" s="47" t="s">
        <v>59</v>
      </c>
      <c r="E50" s="159" t="s">
        <v>214</v>
      </c>
      <c r="F50" s="23"/>
    </row>
    <row r="51" spans="1:6" x14ac:dyDescent="0.25">
      <c r="A51" s="62">
        <v>1</v>
      </c>
      <c r="B51" s="27" t="str">
        <f t="shared" ref="B51:B59" si="1">A35</f>
        <v>Nose Slugs</v>
      </c>
      <c r="C51" s="63">
        <v>0</v>
      </c>
      <c r="D51" s="319">
        <f>C51*C35</f>
        <v>0</v>
      </c>
      <c r="E51" s="317"/>
      <c r="F51" s="23"/>
    </row>
    <row r="52" spans="1:6" x14ac:dyDescent="0.25">
      <c r="A52" s="347">
        <f>IF(Ballast!D18=Constants!B15,1,0)</f>
        <v>0</v>
      </c>
      <c r="B52" s="30" t="str">
        <f t="shared" si="1"/>
        <v>FWD Plates</v>
      </c>
      <c r="C52" s="63">
        <v>0</v>
      </c>
      <c r="D52" s="320">
        <f t="shared" ref="D52:D58" si="2">C36*C52</f>
        <v>0</v>
      </c>
      <c r="F52" s="318" t="str">
        <f t="shared" ref="F52:F62" si="3">IF(ABS(C52)&gt;5000,"Error: Weight adjustment too high","")</f>
        <v/>
      </c>
    </row>
    <row r="53" spans="1:6" x14ac:dyDescent="0.25">
      <c r="A53" s="63">
        <v>1</v>
      </c>
      <c r="B53" s="30" t="str">
        <f t="shared" si="1"/>
        <v>FWD Ballast Bottles</v>
      </c>
      <c r="C53" s="63">
        <v>0</v>
      </c>
      <c r="D53" s="320">
        <f t="shared" si="2"/>
        <v>0</v>
      </c>
      <c r="E53" s="67"/>
      <c r="F53" s="69" t="str">
        <f t="shared" si="3"/>
        <v/>
      </c>
    </row>
    <row r="54" spans="1:6" x14ac:dyDescent="0.25">
      <c r="A54" s="347">
        <f>IF(Ballast!D22&lt;&gt;"None",1,0)</f>
        <v>1</v>
      </c>
      <c r="B54" s="30" t="str">
        <f t="shared" si="1"/>
        <v>FWD Secondary Bay Pie Weights</v>
      </c>
      <c r="C54" s="63">
        <v>0</v>
      </c>
      <c r="D54" s="320">
        <f t="shared" si="2"/>
        <v>0</v>
      </c>
      <c r="E54" s="67"/>
      <c r="F54" s="69" t="str">
        <f t="shared" si="3"/>
        <v/>
      </c>
    </row>
    <row r="55" spans="1:6" x14ac:dyDescent="0.25">
      <c r="A55" s="63">
        <v>1</v>
      </c>
      <c r="B55" s="30" t="str">
        <f t="shared" si="1"/>
        <v>FWD Primary Pie Weights</v>
      </c>
      <c r="C55" s="63">
        <v>0</v>
      </c>
      <c r="D55" s="320">
        <f t="shared" si="2"/>
        <v>0</v>
      </c>
      <c r="E55" s="67"/>
      <c r="F55" s="69" t="str">
        <f t="shared" si="3"/>
        <v/>
      </c>
    </row>
    <row r="56" spans="1:6" x14ac:dyDescent="0.25">
      <c r="A56" s="63">
        <v>1</v>
      </c>
      <c r="B56" s="30" t="str">
        <f t="shared" si="1"/>
        <v>Center</v>
      </c>
      <c r="C56" s="63">
        <v>0</v>
      </c>
      <c r="D56" s="320">
        <f t="shared" si="2"/>
        <v>0</v>
      </c>
      <c r="E56" s="67"/>
      <c r="F56" s="69" t="str">
        <f t="shared" si="3"/>
        <v/>
      </c>
    </row>
    <row r="57" spans="1:6" x14ac:dyDescent="0.25">
      <c r="A57" s="63">
        <v>1</v>
      </c>
      <c r="B57" s="30" t="str">
        <f t="shared" si="1"/>
        <v>Wing Rail Slugs</v>
      </c>
      <c r="C57" s="63">
        <v>0</v>
      </c>
      <c r="D57" s="320">
        <f t="shared" si="2"/>
        <v>0</v>
      </c>
      <c r="E57" s="67"/>
      <c r="F57" s="69" t="str">
        <f t="shared" si="3"/>
        <v/>
      </c>
    </row>
    <row r="58" spans="1:6" x14ac:dyDescent="0.25">
      <c r="A58" s="63">
        <v>1</v>
      </c>
      <c r="B58" s="30" t="str">
        <f t="shared" si="1"/>
        <v>AFT Primary Bay Pie Weights</v>
      </c>
      <c r="C58" s="63">
        <v>0</v>
      </c>
      <c r="D58" s="320">
        <f t="shared" si="2"/>
        <v>0</v>
      </c>
      <c r="E58" s="67"/>
      <c r="F58" s="69" t="str">
        <f t="shared" si="3"/>
        <v/>
      </c>
    </row>
    <row r="59" spans="1:6" x14ac:dyDescent="0.25">
      <c r="A59" s="63">
        <v>1</v>
      </c>
      <c r="B59" s="30" t="str">
        <f t="shared" si="1"/>
        <v>AFT Cap Pie Weights</v>
      </c>
      <c r="C59" s="63">
        <v>0</v>
      </c>
      <c r="D59" s="320">
        <f>C43*C59</f>
        <v>0</v>
      </c>
      <c r="E59" s="68"/>
      <c r="F59" s="69" t="str">
        <f t="shared" si="3"/>
        <v/>
      </c>
    </row>
    <row r="60" spans="1:6" x14ac:dyDescent="0.25">
      <c r="A60" s="63">
        <v>1</v>
      </c>
      <c r="B60" s="30" t="str">
        <f>A44</f>
        <v>AFT Ballast Bottles</v>
      </c>
      <c r="C60" s="63">
        <v>0</v>
      </c>
      <c r="D60" s="320">
        <f>C60*C44</f>
        <v>0</v>
      </c>
      <c r="E60" s="65"/>
      <c r="F60" s="69" t="str">
        <f t="shared" si="3"/>
        <v/>
      </c>
    </row>
    <row r="61" spans="1:6" ht="13.8" thickBot="1" x14ac:dyDescent="0.3">
      <c r="A61" s="64">
        <v>1</v>
      </c>
      <c r="B61" s="48" t="str">
        <f>A45</f>
        <v xml:space="preserve">Thruster Slugs </v>
      </c>
      <c r="C61" s="64">
        <v>0</v>
      </c>
      <c r="D61" s="321">
        <f>C61*C45</f>
        <v>0</v>
      </c>
      <c r="E61" s="65"/>
      <c r="F61" s="69" t="str">
        <f t="shared" si="3"/>
        <v/>
      </c>
    </row>
    <row r="62" spans="1:6" ht="13.8" thickBot="1" x14ac:dyDescent="0.3">
      <c r="A62" s="150"/>
      <c r="B62" s="156"/>
      <c r="C62" s="137">
        <f>SUM(C51:C61)</f>
        <v>0</v>
      </c>
      <c r="D62" s="157">
        <f>SUMIF(D51:D61,"&lt;&gt;#N/A")</f>
        <v>0</v>
      </c>
      <c r="E62" s="65"/>
      <c r="F62" s="69" t="str">
        <f t="shared" si="3"/>
        <v/>
      </c>
    </row>
    <row r="63" spans="1:6" ht="27" customHeight="1" thickBot="1" x14ac:dyDescent="0.3">
      <c r="A63" s="65"/>
      <c r="B63" s="65"/>
      <c r="C63" s="65"/>
      <c r="D63" s="65"/>
      <c r="E63" s="65"/>
      <c r="F63" s="23"/>
    </row>
    <row r="64" spans="1:6" ht="13.8" thickBot="1" x14ac:dyDescent="0.3">
      <c r="A64" s="311" t="s">
        <v>215</v>
      </c>
      <c r="B64" s="312"/>
      <c r="C64" s="312"/>
      <c r="D64" s="312"/>
      <c r="E64" s="313"/>
      <c r="F64" s="51"/>
    </row>
    <row r="65" spans="1:8" x14ac:dyDescent="0.25">
      <c r="A65" s="31"/>
      <c r="B65" s="52">
        <f>ABS((C18+C19-C20)+C62)</f>
        <v>541.83093488718259</v>
      </c>
      <c r="C65" s="454" t="str">
        <f>IF(((C18+C19-C20)+C62)&gt;=0,"Additional grams need to be removed", "Additional grams need to be added")</f>
        <v>Additional grams need to be added</v>
      </c>
      <c r="D65" s="454"/>
      <c r="E65" s="455"/>
      <c r="F65" s="23"/>
      <c r="H65">
        <f>IF(A51,1,IF(A52,2,IF(A53,3,IF(A54,4,IF(A55,5,IF(A56,6,IF(A57,7,IF(A58,8,IF(A59,9,IF(A60,10,IF(A61,11,"Error")))))))))))</f>
        <v>1</v>
      </c>
    </row>
    <row r="66" spans="1:8" x14ac:dyDescent="0.25">
      <c r="A66" s="31"/>
      <c r="B66" s="36">
        <f>ABS((C28+D62)/(INDEX(C35:C45,IF(A61,11,IF(A60,10,IF(A59,9,IF(A58,8,IF(A57,7,IF(A56,6,IF(A55,5,"error"))))))))-INDEX(C35:C45,IF(A51,1,IF(A52,2,IF(A53,3,IF(A54,4,IF(A5,5,IF(A56,6,IF(A57,7,"Error"))))))))))</f>
        <v>10.78766919532605</v>
      </c>
      <c r="C66" s="456" t="str">
        <f>CONCATENATE("Grams need to move from ",IF((C28+D62)&lt;=0,INDEX(A35:A45,H65,1),INDEX(A35:A45,H66,1))," to ",IF((C28+D62)&lt;=0,INDEX(A35:A45,H66,1),INDEX(A35:A45,H65,1)))</f>
        <v xml:space="preserve">Grams need to move from Nose Slugs to Thruster Slugs </v>
      </c>
      <c r="D66" s="456"/>
      <c r="E66" s="457"/>
      <c r="F66" s="23"/>
      <c r="H66">
        <f>IF(A61,11,IF(A60,10,IF(A59,9,IF(A58,8,IF(A57,7,IF(A56,6,IF(A55,5,IF(A54,4,IF(A53,3,IF(A52,2,IF(A51,1,"error")))))))))))</f>
        <v>11</v>
      </c>
    </row>
    <row r="67" spans="1:8" x14ac:dyDescent="0.25">
      <c r="A67" s="31"/>
      <c r="B67" s="36">
        <f>INDEX(C51:C61,IF(A51,1,IF(A52,2,IF(A53,3,IF(A54,4,IF(A565,5,IF(A56,6,IF(A57,7,IF(A58,8,IF(A59,9,IF(A60,10,IF(A61,11,"Error"))))))))))))+(C28+D62)/(INDEX(C35:C45,IF(A61,11,IF(A60,10,IF(A59,9,IF(A58,8,IF(A57,7,IF(A56,6,IF(A55,5,IF(A54,4,IF(A53,3,IF(A52,2,IF(A51,1,"Error"))))))))))))-INDEX(C35:C45,IF(A51,1,IF(A52,2,IF(A53,3,IF(A54,4,IF(A55,5,IF(A56,6,IF(A57,7,IF(A58,8,IF(A59,9,IF(A60,10,IF(A61,11,"Error")))))))))))))</f>
        <v>-10.78766919532605</v>
      </c>
      <c r="C67" s="458" t="str">
        <f>CONCATENATE("Change ",INDEX(A35:A45,IF(A51,1,IF(A52,2,IF(A53,3,IF(A54,4,IF(A55,5,IF(A56,6,IF(A57,7,IF(A58,8,IF(A59,9,IF(A60,10,IF(A61,11,"Error"))))))))))),1)," to this:")</f>
        <v>Change Nose Slugs to this:</v>
      </c>
      <c r="D67" s="458"/>
      <c r="E67" s="459"/>
      <c r="F67" s="23" t="s">
        <v>77</v>
      </c>
    </row>
    <row r="68" spans="1:8" ht="13.8" thickBot="1" x14ac:dyDescent="0.3">
      <c r="A68" s="41"/>
      <c r="B68" s="54">
        <f>INDEX(C51:C61,IF(A61,11,IF(A60,10,IF(A59,9,IF(A58,8,IF(A57,7,IF(A56,6,IF(A55,5,IF(A54,4,IF(A53,3,IF(A52,2,IF(A51,1,"Error"))))))))))))-(C28+D62)/(INDEX(C51:C61,IF(A61,11,IF(A60,10,IF(A59,9,IF(A58,8,IF(A57,7,IF(A56,6,IF(A55,5,IF(A54,4,IF(A53,3,IF(A52,2,IF(A51,1,"Error"))))))))))))-INDEX(C35:C45,IF(A51,1,IF(A52,2,IF(A53,3,IF(A54,4,IF(A55,5,IF(A56,6,IF(A57,7,IF(A58,8,IF(A59,9,IF(A60,10,IF(A61,11,"Error")))))))))))))</f>
        <v>30.06957777864541</v>
      </c>
      <c r="C68" s="460" t="str">
        <f>CONCATENATE("Change ",INDEX(A35:A45,IF(A61,11,IF(A60,10,IF(A59,9,IF(A58,8,IF(A57,7,IF(A56,6,IF(A55,5,IF(A54,4,IF(A53,3,IF(A52,2,IF(A51,1,"error"))))))))))),1)," to this:")</f>
        <v>Change Thruster Slugs  to this:</v>
      </c>
      <c r="D68" s="460"/>
      <c r="E68" s="461"/>
      <c r="F68" s="23" t="s">
        <v>78</v>
      </c>
    </row>
    <row r="69" spans="1:8" x14ac:dyDescent="0.25">
      <c r="B69" s="36"/>
      <c r="C69" s="53"/>
    </row>
    <row r="70" spans="1:8" ht="15" customHeight="1" x14ac:dyDescent="0.25">
      <c r="B70" s="36"/>
      <c r="C70" s="53"/>
      <c r="D70" s="235"/>
    </row>
    <row r="71" spans="1:8" s="1" customFormat="1" ht="2.25" hidden="1" customHeight="1" x14ac:dyDescent="0.25"/>
    <row r="72" spans="1:8" s="1" customFormat="1" ht="38.25" customHeight="1" x14ac:dyDescent="0.25">
      <c r="A72" s="23" t="s">
        <v>75</v>
      </c>
      <c r="B72"/>
      <c r="C72"/>
      <c r="D72"/>
      <c r="E72"/>
      <c r="F72" s="23"/>
    </row>
    <row r="73" spans="1:8" s="1" customFormat="1" ht="18" customHeight="1" x14ac:dyDescent="0.25">
      <c r="A73" s="449" t="s">
        <v>76</v>
      </c>
      <c r="B73" s="453"/>
      <c r="C73" s="453"/>
      <c r="D73" s="453"/>
      <c r="E73" s="56"/>
      <c r="F73" s="57"/>
    </row>
    <row r="74" spans="1:8" s="1" customFormat="1" ht="51.6" customHeight="1" x14ac:dyDescent="0.25">
      <c r="A74" s="444" t="s">
        <v>160</v>
      </c>
      <c r="B74" s="453"/>
      <c r="C74" s="453"/>
      <c r="D74" s="453"/>
      <c r="E74" s="58"/>
      <c r="F74" s="57"/>
    </row>
    <row r="75" spans="1:8" s="1" customFormat="1" ht="54.6" customHeight="1" x14ac:dyDescent="0.25">
      <c r="A75" s="444" t="s">
        <v>161</v>
      </c>
      <c r="B75" s="453"/>
      <c r="C75" s="453"/>
      <c r="D75" s="453"/>
      <c r="E75" s="58"/>
      <c r="F75" s="57"/>
    </row>
    <row r="76" spans="1:8" s="1" customFormat="1" ht="52.95" customHeight="1" x14ac:dyDescent="0.25">
      <c r="A76" s="444" t="s">
        <v>162</v>
      </c>
      <c r="B76" s="453"/>
      <c r="C76" s="453"/>
      <c r="D76" s="453"/>
      <c r="E76" s="58"/>
      <c r="F76" s="57"/>
    </row>
    <row r="77" spans="1:8" s="1" customFormat="1" ht="109.2" customHeight="1" x14ac:dyDescent="0.25">
      <c r="A77" s="444" t="s">
        <v>163</v>
      </c>
      <c r="B77" s="453"/>
      <c r="C77" s="453"/>
      <c r="D77" s="453"/>
      <c r="E77" s="58"/>
      <c r="F77" s="57"/>
    </row>
    <row r="78" spans="1:8" ht="43.95" customHeight="1" x14ac:dyDescent="0.25">
      <c r="A78" s="444" t="s">
        <v>164</v>
      </c>
      <c r="B78" s="453"/>
      <c r="C78" s="453"/>
      <c r="D78" s="453"/>
      <c r="E78" s="58"/>
      <c r="F78" s="57"/>
    </row>
    <row r="79" spans="1:8" ht="30" customHeight="1" x14ac:dyDescent="0.25">
      <c r="A79" s="445" t="s">
        <v>79</v>
      </c>
      <c r="B79" s="445"/>
      <c r="C79" s="445"/>
      <c r="D79" s="445"/>
      <c r="F79" s="23"/>
    </row>
    <row r="80" spans="1:8" s="58" customFormat="1" ht="13.95" customHeight="1" x14ac:dyDescent="0.25">
      <c r="A80"/>
      <c r="B80"/>
      <c r="C80" s="59"/>
      <c r="D80" s="36"/>
      <c r="E80"/>
      <c r="F80" s="23"/>
    </row>
    <row r="81" spans="1:6" s="58" customFormat="1" ht="37.200000000000003" customHeight="1" x14ac:dyDescent="0.25">
      <c r="A81" t="s">
        <v>83</v>
      </c>
      <c r="B81"/>
      <c r="C81" s="59"/>
      <c r="D81" s="36"/>
      <c r="E81"/>
      <c r="F81" s="23"/>
    </row>
    <row r="82" spans="1:6" s="58" customFormat="1" ht="13.95" customHeight="1" x14ac:dyDescent="0.25">
      <c r="A82"/>
      <c r="B82"/>
      <c r="C82"/>
      <c r="D82"/>
      <c r="E82"/>
      <c r="F82"/>
    </row>
    <row r="83" spans="1:6" s="58" customFormat="1" ht="16.2" customHeight="1" x14ac:dyDescent="0.25">
      <c r="A83"/>
      <c r="B83"/>
      <c r="C83"/>
      <c r="D83"/>
      <c r="E83"/>
      <c r="F83"/>
    </row>
    <row r="84" spans="1:6" s="58" customFormat="1" ht="13.95" customHeight="1" x14ac:dyDescent="0.25">
      <c r="A84"/>
      <c r="B84"/>
      <c r="C84"/>
      <c r="D84"/>
      <c r="E84"/>
      <c r="F84"/>
    </row>
    <row r="85" spans="1:6" s="58" customFormat="1" ht="13.95" customHeight="1" x14ac:dyDescent="0.25">
      <c r="A85"/>
      <c r="B85"/>
      <c r="C85"/>
      <c r="D85"/>
      <c r="E85"/>
      <c r="F85"/>
    </row>
    <row r="86" spans="1:6" ht="15" customHeight="1" x14ac:dyDescent="0.25"/>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&amp;C&amp;F</oddHeader>
    <oddFooter>&amp;L&amp;1#&amp;"Calibri,Regular"&amp;10&amp;K000000Teledyne Confidential; Commercially Sensitive Business Data&amp;C&amp;A</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70"/>
  <sheetViews>
    <sheetView zoomScaleNormal="100" workbookViewId="0">
      <selection activeCell="F15" sqref="F15"/>
    </sheetView>
  </sheetViews>
  <sheetFormatPr defaultColWidth="9.109375" defaultRowHeight="13.2" x14ac:dyDescent="0.25"/>
  <cols>
    <col min="1" max="1" width="31.109375" customWidth="1"/>
    <col min="2" max="2" width="28.44140625" customWidth="1"/>
    <col min="3" max="3" width="23.33203125" customWidth="1"/>
    <col min="4" max="4" width="14.109375" customWidth="1"/>
    <col min="5" max="5" width="33.88671875" customWidth="1"/>
    <col min="6" max="6" width="54.5546875" customWidth="1"/>
    <col min="8" max="8" width="9.109375" customWidth="1"/>
  </cols>
  <sheetData>
    <row r="1" spans="1:11" ht="20.25" customHeight="1" x14ac:dyDescent="0.25">
      <c r="C1" s="65"/>
      <c r="D1" s="128" t="s">
        <v>145</v>
      </c>
      <c r="E1" s="129" t="str">
        <f>Ballast!$I$1</f>
        <v>4095-GBPSH</v>
      </c>
    </row>
    <row r="2" spans="1:11" ht="20.25" customHeight="1" x14ac:dyDescent="0.25">
      <c r="C2" s="65"/>
      <c r="D2" s="130" t="s">
        <v>146</v>
      </c>
      <c r="E2" s="131" t="str">
        <f>Ballast!$I$2</f>
        <v>H</v>
      </c>
    </row>
    <row r="3" spans="1:11" ht="20.25" customHeight="1" x14ac:dyDescent="0.25">
      <c r="C3" s="65"/>
      <c r="D3" s="130" t="s">
        <v>1</v>
      </c>
      <c r="E3" s="132">
        <f>Ballast!$I$3</f>
        <v>44888</v>
      </c>
    </row>
    <row r="4" spans="1:11" ht="20.25" customHeight="1" thickBot="1" x14ac:dyDescent="0.3">
      <c r="C4" s="65"/>
      <c r="D4" s="133" t="s">
        <v>147</v>
      </c>
      <c r="E4" s="134">
        <f>Ballast!$I$4</f>
        <v>14841</v>
      </c>
    </row>
    <row r="5" spans="1:11" ht="15" customHeight="1" thickBot="1" x14ac:dyDescent="0.3">
      <c r="C5" s="65"/>
      <c r="D5" s="65"/>
      <c r="E5" s="65"/>
    </row>
    <row r="6" spans="1:11" ht="6.75" customHeight="1" thickTop="1" thickBot="1" x14ac:dyDescent="0.3">
      <c r="A6" s="163"/>
      <c r="B6" s="163"/>
      <c r="C6" s="138"/>
      <c r="D6" s="138"/>
      <c r="E6" s="138"/>
    </row>
    <row r="7" spans="1:11" x14ac:dyDescent="0.25">
      <c r="A7" s="126" t="s">
        <v>34</v>
      </c>
      <c r="B7" s="305" t="str">
        <f>IF(ISBLANK(Ballast!D15),"",Ballast!D15)</f>
        <v/>
      </c>
      <c r="C7" s="451" t="str">
        <f>IF(Ballast!D18=Constants!B15,"",IF(Ballast!D18=Constants!B16,"",IF(Ballast!D18=Constants!B17,"","Wrong Generation Glider Selected")))</f>
        <v/>
      </c>
      <c r="D7" s="65"/>
      <c r="E7" s="65"/>
      <c r="F7" s="23"/>
    </row>
    <row r="8" spans="1:11" ht="14.25" customHeight="1" thickBot="1" x14ac:dyDescent="0.3">
      <c r="A8" s="127" t="s">
        <v>1</v>
      </c>
      <c r="B8" s="306" t="str">
        <f>IF(ISBLANK(Ballast!D17),"",Ballast!D17)</f>
        <v/>
      </c>
      <c r="C8" s="451"/>
      <c r="D8" s="65"/>
      <c r="E8" s="65"/>
      <c r="F8" s="23"/>
    </row>
    <row r="9" spans="1:11" ht="18" customHeight="1" x14ac:dyDescent="0.25">
      <c r="A9" s="309"/>
      <c r="B9" s="309"/>
      <c r="C9" s="309"/>
      <c r="D9" s="309"/>
      <c r="F9" s="23"/>
      <c r="G9" s="261" t="s">
        <v>202</v>
      </c>
      <c r="H9" s="261" t="s">
        <v>203</v>
      </c>
    </row>
    <row r="10" spans="1:11" ht="24.6" customHeight="1" x14ac:dyDescent="0.25">
      <c r="A10" s="452" t="str">
        <f>VLOOKUP(Constants!B104, Constants!B101:E102, 4, FALSE)</f>
        <v>Picture 3</v>
      </c>
      <c r="B10" s="452"/>
      <c r="C10" s="452"/>
      <c r="D10" s="452"/>
      <c r="E10" s="65"/>
      <c r="F10" s="23"/>
      <c r="G10" s="261" t="s">
        <v>206</v>
      </c>
      <c r="H10" s="261" t="s">
        <v>204</v>
      </c>
    </row>
    <row r="11" spans="1:11" ht="28.95" customHeight="1" x14ac:dyDescent="0.25">
      <c r="A11" s="452"/>
      <c r="B11" s="452"/>
      <c r="C11" s="452"/>
      <c r="D11" s="452"/>
      <c r="E11" s="266"/>
      <c r="F11" s="23"/>
      <c r="G11" s="261" t="s">
        <v>207</v>
      </c>
      <c r="H11" s="261" t="s">
        <v>205</v>
      </c>
    </row>
    <row r="12" spans="1:11" ht="29.4" customHeight="1" x14ac:dyDescent="0.25">
      <c r="A12" s="452"/>
      <c r="B12" s="452"/>
      <c r="C12" s="452"/>
      <c r="D12" s="452"/>
      <c r="E12" s="65"/>
      <c r="F12" s="23"/>
    </row>
    <row r="13" spans="1:11" ht="19.95" customHeight="1" x14ac:dyDescent="0.25">
      <c r="A13" s="452"/>
      <c r="B13" s="452"/>
      <c r="C13" s="452"/>
      <c r="D13" s="452"/>
      <c r="E13" s="65"/>
      <c r="F13" s="23"/>
    </row>
    <row r="14" spans="1:11" ht="15" customHeight="1" x14ac:dyDescent="0.25">
      <c r="A14" s="309"/>
      <c r="B14" s="309"/>
      <c r="C14" s="309"/>
      <c r="D14" s="309"/>
      <c r="E14" s="65"/>
      <c r="F14" s="23"/>
    </row>
    <row r="15" spans="1:11" x14ac:dyDescent="0.25">
      <c r="A15" s="448" t="s">
        <v>154</v>
      </c>
      <c r="B15" s="448"/>
      <c r="C15" s="448"/>
      <c r="D15" s="448"/>
      <c r="E15" s="65"/>
      <c r="F15" s="23"/>
    </row>
    <row r="16" spans="1:11" ht="13.8" thickBot="1" x14ac:dyDescent="0.3">
      <c r="A16" s="24"/>
      <c r="C16" s="65"/>
      <c r="D16" s="65"/>
      <c r="E16" s="65"/>
      <c r="F16" s="23"/>
      <c r="J16" s="261"/>
      <c r="K16" s="261"/>
    </row>
    <row r="17" spans="1:11" x14ac:dyDescent="0.25">
      <c r="A17" s="25" t="s">
        <v>55</v>
      </c>
      <c r="B17" s="26"/>
      <c r="C17" s="139"/>
      <c r="D17" s="140"/>
      <c r="E17" s="65"/>
      <c r="F17" s="23"/>
      <c r="J17" s="261"/>
      <c r="K17" s="261"/>
    </row>
    <row r="18" spans="1:11" x14ac:dyDescent="0.25">
      <c r="A18" s="28"/>
      <c r="B18" s="29" t="s">
        <v>44</v>
      </c>
      <c r="C18" s="60">
        <v>0</v>
      </c>
      <c r="D18" s="30" t="s">
        <v>8</v>
      </c>
      <c r="E18" s="269" t="str">
        <f>IF(C18&gt;5000,"Error: scale reading too high",IF(C18&lt;0,"Error: scale reading should be positive",""))</f>
        <v/>
      </c>
      <c r="F18" s="23"/>
      <c r="J18" s="261"/>
      <c r="K18" s="261"/>
    </row>
    <row r="19" spans="1:11" x14ac:dyDescent="0.25">
      <c r="A19" s="31"/>
      <c r="B19" s="32" t="s">
        <v>45</v>
      </c>
      <c r="C19" s="60">
        <v>0</v>
      </c>
      <c r="D19" s="30" t="s">
        <v>8</v>
      </c>
      <c r="E19" s="269" t="str">
        <f>IF(C19&gt;5000,"Error: scale reading too high",IF(C19&lt;0,"Error: scale reading should be positive",""))</f>
        <v/>
      </c>
      <c r="F19" s="23"/>
      <c r="J19" s="261"/>
      <c r="K19" s="261"/>
    </row>
    <row r="20" spans="1:11" x14ac:dyDescent="0.25">
      <c r="A20" s="31"/>
      <c r="B20" s="32" t="s">
        <v>46</v>
      </c>
      <c r="C20" s="145">
        <f>Ballast!H46</f>
        <v>1606.8309348871826</v>
      </c>
      <c r="D20" s="30" t="s">
        <v>8</v>
      </c>
      <c r="E20" s="65"/>
      <c r="F20" s="23"/>
    </row>
    <row r="21" spans="1:11" x14ac:dyDescent="0.25">
      <c r="A21" s="33"/>
      <c r="B21" s="34" t="str">
        <f>IF((C18+C19-C20)&gt;0,"Total weight to remove:","Total weight to add:")</f>
        <v>Total weight to add:</v>
      </c>
      <c r="C21" s="147">
        <f>ABS(C18+C19-C20)</f>
        <v>1606.8309348871826</v>
      </c>
      <c r="D21" s="35" t="s">
        <v>8</v>
      </c>
      <c r="E21" s="65"/>
      <c r="F21" s="23"/>
    </row>
    <row r="22" spans="1:11" x14ac:dyDescent="0.25">
      <c r="A22" s="144"/>
      <c r="B22" s="65"/>
      <c r="C22" s="148"/>
      <c r="D22" s="30"/>
      <c r="E22" s="65"/>
      <c r="F22" s="23"/>
    </row>
    <row r="23" spans="1:11" x14ac:dyDescent="0.25">
      <c r="A23" s="144"/>
      <c r="B23" s="37" t="s">
        <v>43</v>
      </c>
      <c r="C23" s="38" t="s">
        <v>47</v>
      </c>
      <c r="D23" s="30"/>
      <c r="E23" s="65"/>
      <c r="F23" s="23"/>
    </row>
    <row r="24" spans="1:11" x14ac:dyDescent="0.25">
      <c r="A24" s="144"/>
      <c r="B24" s="39" t="s">
        <v>60</v>
      </c>
      <c r="C24" s="39" t="s">
        <v>60</v>
      </c>
      <c r="D24" s="30"/>
      <c r="E24" s="65"/>
      <c r="F24" s="23"/>
    </row>
    <row r="25" spans="1:11" x14ac:dyDescent="0.25">
      <c r="A25" s="40" t="s">
        <v>211</v>
      </c>
      <c r="B25" s="169">
        <v>1</v>
      </c>
      <c r="C25" s="149">
        <f>B25-$C$31</f>
        <v>-26.526879415144826</v>
      </c>
      <c r="D25" s="30"/>
      <c r="E25" t="str">
        <f>IF(B25&lt;-10,"Error: Check scale position",IF(B25&gt;30, "Error, check scale position",""))</f>
        <v/>
      </c>
      <c r="F25" s="23"/>
    </row>
    <row r="26" spans="1:11" x14ac:dyDescent="0.25">
      <c r="A26" s="40" t="s">
        <v>212</v>
      </c>
      <c r="B26" s="169">
        <f>Constants!C96-1</f>
        <v>50.611978830289658</v>
      </c>
      <c r="C26" s="149">
        <f>B26-$C$31</f>
        <v>23.085099415144832</v>
      </c>
      <c r="D26" s="30"/>
      <c r="E26" t="str">
        <f>IF(B26&lt;20,"Error: Check scale position",IF(B26&gt;70, "Error, check scale position",""))</f>
        <v/>
      </c>
      <c r="F26" s="23"/>
    </row>
    <row r="27" spans="1:11" x14ac:dyDescent="0.25">
      <c r="A27" s="31"/>
      <c r="C27" s="65"/>
      <c r="D27" s="30"/>
      <c r="E27" s="65"/>
      <c r="F27" s="23"/>
    </row>
    <row r="28" spans="1:11" ht="13.8" thickBot="1" x14ac:dyDescent="0.3">
      <c r="A28" s="41"/>
      <c r="B28" s="42" t="s">
        <v>68</v>
      </c>
      <c r="C28" s="137">
        <f>(C18*C25)+(C19*C26)</f>
        <v>0</v>
      </c>
      <c r="D28" s="43" t="s">
        <v>35</v>
      </c>
      <c r="E28" s="65"/>
      <c r="F28" s="23"/>
    </row>
    <row r="29" spans="1:11" ht="13.8" thickBot="1" x14ac:dyDescent="0.3">
      <c r="A29" s="65"/>
      <c r="B29" s="151"/>
      <c r="C29" s="65"/>
      <c r="D29" s="65"/>
      <c r="E29" s="65"/>
      <c r="F29" s="23" t="s">
        <v>74</v>
      </c>
    </row>
    <row r="30" spans="1:11" x14ac:dyDescent="0.25">
      <c r="A30" s="44" t="s">
        <v>41</v>
      </c>
      <c r="B30" s="139"/>
      <c r="C30" s="139"/>
      <c r="D30" s="140"/>
      <c r="E30" s="65"/>
      <c r="F30" s="23" t="s">
        <v>56</v>
      </c>
    </row>
    <row r="31" spans="1:11" ht="26.4" x14ac:dyDescent="0.25">
      <c r="A31" s="31"/>
      <c r="B31" s="45" t="s">
        <v>40</v>
      </c>
      <c r="C31" s="61">
        <f>Constants!E96</f>
        <v>27.526879415144826</v>
      </c>
      <c r="D31" s="152"/>
      <c r="E31" s="65"/>
      <c r="F31" s="23" t="s">
        <v>42</v>
      </c>
    </row>
    <row r="32" spans="1:11" ht="27" thickBot="1" x14ac:dyDescent="0.3">
      <c r="A32" s="31"/>
      <c r="B32" s="65"/>
      <c r="C32" s="65"/>
      <c r="D32" s="142"/>
      <c r="E32" s="65"/>
      <c r="F32" s="23" t="s">
        <v>62</v>
      </c>
    </row>
    <row r="33" spans="1:6" ht="26.4" x14ac:dyDescent="0.25">
      <c r="A33" s="46" t="s">
        <v>210</v>
      </c>
      <c r="B33" s="46" t="s">
        <v>213</v>
      </c>
      <c r="C33" s="46" t="s">
        <v>61</v>
      </c>
      <c r="D33" s="142"/>
      <c r="E33" s="65"/>
      <c r="F33" s="23" t="s">
        <v>80</v>
      </c>
    </row>
    <row r="34" spans="1:6" ht="13.8" thickBot="1" x14ac:dyDescent="0.3">
      <c r="A34" s="47"/>
      <c r="B34" s="47" t="s">
        <v>60</v>
      </c>
      <c r="C34" s="47" t="s">
        <v>60</v>
      </c>
      <c r="D34" s="142"/>
      <c r="E34" s="65"/>
      <c r="F34" s="23" t="s">
        <v>81</v>
      </c>
    </row>
    <row r="35" spans="1:6" x14ac:dyDescent="0.25">
      <c r="A35" s="316" t="s">
        <v>308</v>
      </c>
      <c r="B35" s="354">
        <v>-4.55</v>
      </c>
      <c r="C35" s="351">
        <f>B35-C$31</f>
        <v>-32.076879415144823</v>
      </c>
      <c r="D35" s="142"/>
      <c r="E35" s="65"/>
      <c r="F35" s="23"/>
    </row>
    <row r="36" spans="1:6" x14ac:dyDescent="0.25">
      <c r="A36" s="314" t="s">
        <v>309</v>
      </c>
      <c r="B36" s="349">
        <f>IF(Ballast!D22&lt;&gt;"None",IF(Ballast!D22&lt;&gt;"None",Constants!C92,#N/A)+Constants!C92,Constants!C92)+0.5*Constants!C94</f>
        <v>44.749698753370083</v>
      </c>
      <c r="C36" s="352">
        <f t="shared" ref="C36" si="0">B36-C$31</f>
        <v>17.222819338225257</v>
      </c>
      <c r="D36" s="142"/>
      <c r="E36" s="65"/>
      <c r="F36" s="23"/>
    </row>
    <row r="37" spans="1:6" ht="13.8" thickBot="1" x14ac:dyDescent="0.3">
      <c r="A37" s="315" t="s">
        <v>310</v>
      </c>
      <c r="B37" s="350">
        <f>13.6818+Constants!C93+Constants!C94+IF(Ballast!D22&lt;&gt;"None",IF(Ballast!D22&lt;&gt;"None",Constants!C92,#N/A)+Constants!C92,Constants!C92)</f>
        <v>84.8611789122928</v>
      </c>
      <c r="C37" s="353">
        <f>B37-C$31</f>
        <v>57.334299497147974</v>
      </c>
      <c r="D37" s="153"/>
      <c r="E37" s="65"/>
      <c r="F37" s="23"/>
    </row>
    <row r="38" spans="1:6" ht="13.8" thickBot="1" x14ac:dyDescent="0.3">
      <c r="B38" s="65"/>
      <c r="C38" s="65"/>
      <c r="D38" s="65"/>
      <c r="E38" s="65"/>
      <c r="F38" s="23"/>
    </row>
    <row r="39" spans="1:6" ht="17.399999999999999" customHeight="1" x14ac:dyDescent="0.25">
      <c r="A39" s="44" t="s">
        <v>209</v>
      </c>
      <c r="B39" s="139"/>
      <c r="C39" s="139"/>
      <c r="D39" s="140"/>
      <c r="E39" s="65"/>
      <c r="F39" s="23"/>
    </row>
    <row r="40" spans="1:6" ht="1.95" customHeight="1" thickBot="1" x14ac:dyDescent="0.3">
      <c r="A40" s="31"/>
      <c r="B40" s="65"/>
      <c r="C40" s="65"/>
      <c r="D40" s="142"/>
      <c r="E40" s="65"/>
      <c r="F40" s="23"/>
    </row>
    <row r="41" spans="1:6" ht="26.4" x14ac:dyDescent="0.25">
      <c r="A41" s="46" t="s">
        <v>69</v>
      </c>
      <c r="B41" s="46" t="s">
        <v>53</v>
      </c>
      <c r="C41" s="378" t="s">
        <v>312</v>
      </c>
      <c r="D41" s="125" t="s">
        <v>222</v>
      </c>
      <c r="E41" s="158" t="s">
        <v>82</v>
      </c>
      <c r="F41" s="23"/>
    </row>
    <row r="42" spans="1:6" ht="13.8" thickBot="1" x14ac:dyDescent="0.3">
      <c r="A42" s="47" t="s">
        <v>70</v>
      </c>
      <c r="B42" s="47"/>
      <c r="C42" s="49"/>
      <c r="D42" s="47" t="s">
        <v>59</v>
      </c>
      <c r="E42" s="159" t="s">
        <v>214</v>
      </c>
      <c r="F42" s="23"/>
    </row>
    <row r="43" spans="1:6" x14ac:dyDescent="0.25">
      <c r="A43" s="62">
        <v>1</v>
      </c>
      <c r="B43" s="27" t="str">
        <f>A35</f>
        <v>External Nose Slug</v>
      </c>
      <c r="C43" s="379">
        <v>0</v>
      </c>
      <c r="D43" s="380">
        <f>C43*12.5*C35</f>
        <v>0</v>
      </c>
      <c r="E43" s="317"/>
      <c r="F43" s="23"/>
    </row>
    <row r="44" spans="1:6" x14ac:dyDescent="0.25">
      <c r="A44" s="63">
        <v>1</v>
      </c>
      <c r="B44" s="30" t="str">
        <f>A36</f>
        <v>External Wing Rail Slugs</v>
      </c>
      <c r="C44" s="63">
        <v>0</v>
      </c>
      <c r="D44" s="320">
        <f>C36*12.5*C44</f>
        <v>0</v>
      </c>
      <c r="E44" s="67"/>
      <c r="F44" s="69" t="str">
        <f t="shared" ref="F44:F46" si="1">IF(ABS(C44)&gt;5000,"Error: Weight adjustment too high","")</f>
        <v/>
      </c>
    </row>
    <row r="45" spans="1:6" ht="13.8" thickBot="1" x14ac:dyDescent="0.3">
      <c r="A45" s="64">
        <v>1</v>
      </c>
      <c r="B45" s="48" t="str">
        <f>A37</f>
        <v>External Thruster Slugs</v>
      </c>
      <c r="C45" s="64">
        <v>0</v>
      </c>
      <c r="D45" s="321">
        <f>C45*12.5*C37</f>
        <v>0</v>
      </c>
      <c r="E45" s="65"/>
      <c r="F45" s="69" t="str">
        <f t="shared" si="1"/>
        <v/>
      </c>
    </row>
    <row r="46" spans="1:6" ht="13.8" thickBot="1" x14ac:dyDescent="0.3">
      <c r="A46" s="150"/>
      <c r="B46" s="156"/>
      <c r="C46" s="137">
        <f>SUM(C43:C45)</f>
        <v>0</v>
      </c>
      <c r="D46" s="157">
        <f>SUMIF(D43:D45,"&lt;&gt;#N/A")</f>
        <v>0</v>
      </c>
      <c r="E46" s="65"/>
      <c r="F46" s="69" t="str">
        <f t="shared" si="1"/>
        <v/>
      </c>
    </row>
    <row r="47" spans="1:6" ht="27" customHeight="1" thickBot="1" x14ac:dyDescent="0.3">
      <c r="A47" s="65"/>
      <c r="B47" s="65"/>
      <c r="C47" s="65"/>
      <c r="D47" s="65"/>
      <c r="E47" s="65"/>
      <c r="F47" s="23"/>
    </row>
    <row r="48" spans="1:6" ht="13.8" thickBot="1" x14ac:dyDescent="0.3">
      <c r="A48" s="311" t="s">
        <v>215</v>
      </c>
      <c r="B48" s="312"/>
      <c r="C48" s="312"/>
      <c r="D48" s="312"/>
      <c r="E48" s="313"/>
      <c r="F48" s="51"/>
    </row>
    <row r="49" spans="1:8" x14ac:dyDescent="0.25">
      <c r="A49" s="31"/>
      <c r="B49" s="52">
        <f>ROUND(ABS(((C18+C19-C20)/12.5)+C46),0)</f>
        <v>129</v>
      </c>
      <c r="C49" s="454" t="str">
        <f>IF((((C18+C19-C20)/12.5)+C46)&gt;=0,"Additional external slugs need to be removed", "Additional external slugs need to be added")</f>
        <v>Additional external slugs need to be added</v>
      </c>
      <c r="D49" s="454"/>
      <c r="E49" s="455"/>
      <c r="F49" s="23"/>
      <c r="H49">
        <f>IF(A43,1,IF(A44,2,IF(A45,3,"Error")))</f>
        <v>1</v>
      </c>
    </row>
    <row r="50" spans="1:8" x14ac:dyDescent="0.25">
      <c r="A50" s="31"/>
      <c r="B50" s="36">
        <f>ROUND(ABS(((C28+D46))/((INDEX(C35:C37,IF(A45,3,IF(A44,2,IF(A43,1,"error")))))-(INDEX(C35:C37,IF(A43,1,IF(A44,2,IF(A45,3,"Error")))))))/12.5,0)</f>
        <v>0</v>
      </c>
      <c r="C50" s="456" t="str">
        <f>CONCATENATE("External slugs need to move from ",IF((C28+D46)&lt;=0,INDEX(A35:A37,H49,1),INDEX(A35:A37,H50,1))," to ",IF((C28+D46)&lt;=0,INDEX(A35:A37,H50,1),INDEX(A35:A37,H49,1)))</f>
        <v>External slugs need to move from External Nose Slug to External Thruster Slugs</v>
      </c>
      <c r="D50" s="456"/>
      <c r="E50" s="457"/>
      <c r="F50" s="23"/>
      <c r="H50">
        <f>IF(A45,3,IF(A44,2,IF(A43,1,"error")))</f>
        <v>3</v>
      </c>
    </row>
    <row r="51" spans="1:8" ht="18" customHeight="1" x14ac:dyDescent="0.25">
      <c r="A51" s="31"/>
      <c r="B51" s="36">
        <f>ROUND((((INDEX(C43:C45,IF(A43,1,IF(A44,2,IF(A45,3,"Error")))))*12.5)+((C28+D46)/(INDEX(C35:C37,IF(A45,3,IF(A44,2,IF(A43,1,"Error"))))-INDEX(C35:C37,IF(A43,1,IF(A44,2,IF(A45,3,"Error")))))))/12.5,0)</f>
        <v>0</v>
      </c>
      <c r="C51" s="458" t="str">
        <f>CONCATENATE("Change ",INDEX(A35:A37,IF(A43,1,IF(A44,2,IF(A45,3,"Error"))),1)," to this:")</f>
        <v>Change External Nose Slug to this:</v>
      </c>
      <c r="D51" s="458"/>
      <c r="E51" s="459"/>
      <c r="F51" s="23" t="s">
        <v>77</v>
      </c>
    </row>
    <row r="52" spans="1:8" ht="13.2" customHeight="1" thickBot="1" x14ac:dyDescent="0.3">
      <c r="A52" s="41"/>
      <c r="B52" s="54">
        <f>ROUND(((INDEX(C43:C45,IF(A45,3,IF(A44,2,IF(A43,1,"Error"))))*12.5)-((C28+D46)/(INDEX(C43:C45,IF(A45,3,IF(A44,2,IF(A43,1,"Error"))))-INDEX(C35:C37,IF(A43,1,IF(A44,2,IF(A45,3,"Error")))))))/12.5,0)</f>
        <v>0</v>
      </c>
      <c r="C52" s="460" t="str">
        <f>CONCATENATE("Change ",INDEX(A35:A37,IF(A45,3,IF(A44,2,IF(A43,1,"error"))),1)," to this:")</f>
        <v>Change External Thruster Slugs to this:</v>
      </c>
      <c r="D52" s="460"/>
      <c r="E52" s="461"/>
      <c r="F52" s="23" t="s">
        <v>78</v>
      </c>
    </row>
    <row r="53" spans="1:8" x14ac:dyDescent="0.25">
      <c r="B53" s="36">
        <f>C21-ROUND(C21,0)</f>
        <v>-0.16906511281740677</v>
      </c>
      <c r="C53" s="53" t="s">
        <v>311</v>
      </c>
    </row>
    <row r="54" spans="1:8" ht="15" customHeight="1" x14ac:dyDescent="0.25">
      <c r="B54" s="36"/>
      <c r="C54" s="53"/>
      <c r="D54" s="235"/>
    </row>
    <row r="55" spans="1:8" s="1" customFormat="1" ht="2.25" hidden="1" customHeight="1" x14ac:dyDescent="0.25"/>
    <row r="56" spans="1:8" s="1" customFormat="1" ht="38.25" customHeight="1" x14ac:dyDescent="0.25">
      <c r="A56" s="23" t="s">
        <v>75</v>
      </c>
      <c r="B56"/>
      <c r="C56"/>
      <c r="D56"/>
      <c r="E56"/>
      <c r="F56" s="23"/>
    </row>
    <row r="57" spans="1:8" s="1" customFormat="1" ht="18" customHeight="1" x14ac:dyDescent="0.25">
      <c r="A57" s="449" t="s">
        <v>76</v>
      </c>
      <c r="B57" s="453"/>
      <c r="C57" s="453"/>
      <c r="D57" s="453"/>
      <c r="E57" s="56"/>
      <c r="F57" s="57"/>
    </row>
    <row r="58" spans="1:8" s="1" customFormat="1" ht="51.6" customHeight="1" x14ac:dyDescent="0.25">
      <c r="A58" s="444" t="s">
        <v>160</v>
      </c>
      <c r="B58" s="453"/>
      <c r="C58" s="453"/>
      <c r="D58" s="453"/>
      <c r="E58" s="58"/>
      <c r="F58" s="57"/>
    </row>
    <row r="59" spans="1:8" s="1" customFormat="1" ht="54.6" customHeight="1" x14ac:dyDescent="0.25">
      <c r="A59" s="444" t="s">
        <v>161</v>
      </c>
      <c r="B59" s="453"/>
      <c r="C59" s="453"/>
      <c r="D59" s="453"/>
      <c r="E59" s="58"/>
      <c r="F59" s="57"/>
    </row>
    <row r="60" spans="1:8" s="1" customFormat="1" ht="52.95" customHeight="1" x14ac:dyDescent="0.25">
      <c r="A60" s="444" t="s">
        <v>162</v>
      </c>
      <c r="B60" s="453"/>
      <c r="C60" s="453"/>
      <c r="D60" s="453"/>
      <c r="E60" s="58"/>
      <c r="F60" s="57"/>
    </row>
    <row r="61" spans="1:8" s="1" customFormat="1" ht="109.2" customHeight="1" x14ac:dyDescent="0.25">
      <c r="A61" s="444" t="s">
        <v>163</v>
      </c>
      <c r="B61" s="453"/>
      <c r="C61" s="453"/>
      <c r="D61" s="453"/>
      <c r="E61" s="58"/>
      <c r="F61" s="57"/>
    </row>
    <row r="62" spans="1:8" ht="43.95" customHeight="1" x14ac:dyDescent="0.25">
      <c r="A62" s="444" t="s">
        <v>164</v>
      </c>
      <c r="B62" s="453"/>
      <c r="C62" s="453"/>
      <c r="D62" s="453"/>
      <c r="E62" s="58"/>
      <c r="F62" s="57"/>
    </row>
    <row r="63" spans="1:8" ht="30" customHeight="1" x14ac:dyDescent="0.25">
      <c r="A63" s="445" t="s">
        <v>79</v>
      </c>
      <c r="B63" s="445"/>
      <c r="C63" s="445"/>
      <c r="D63" s="445"/>
      <c r="F63" s="23"/>
    </row>
    <row r="64" spans="1:8" s="58" customFormat="1" ht="13.95" customHeight="1" x14ac:dyDescent="0.25">
      <c r="A64"/>
      <c r="B64"/>
      <c r="C64" s="59"/>
      <c r="D64" s="36"/>
      <c r="E64"/>
      <c r="F64" s="23"/>
    </row>
    <row r="65" spans="1:6" s="58" customFormat="1" ht="37.200000000000003" customHeight="1" x14ac:dyDescent="0.25">
      <c r="A65" t="s">
        <v>83</v>
      </c>
      <c r="B65"/>
      <c r="C65" s="59"/>
      <c r="D65" s="36"/>
      <c r="E65"/>
      <c r="F65" s="23"/>
    </row>
    <row r="66" spans="1:6" s="58" customFormat="1" ht="13.95" customHeight="1" x14ac:dyDescent="0.25">
      <c r="A66"/>
      <c r="B66"/>
      <c r="C66"/>
      <c r="D66"/>
      <c r="E66"/>
      <c r="F66"/>
    </row>
    <row r="67" spans="1:6" s="58" customFormat="1" ht="16.2" customHeight="1" x14ac:dyDescent="0.25">
      <c r="A67"/>
      <c r="B67"/>
      <c r="C67"/>
      <c r="D67"/>
      <c r="E67"/>
      <c r="F67"/>
    </row>
    <row r="68" spans="1:6" s="58" customFormat="1" ht="13.95" customHeight="1" x14ac:dyDescent="0.25">
      <c r="A68"/>
      <c r="B68"/>
      <c r="C68"/>
      <c r="D68"/>
      <c r="E68"/>
      <c r="F68"/>
    </row>
    <row r="69" spans="1:6" s="58" customFormat="1" ht="13.95" customHeight="1" x14ac:dyDescent="0.25">
      <c r="A69"/>
      <c r="B69"/>
      <c r="C69"/>
      <c r="D69"/>
      <c r="E69"/>
      <c r="F69"/>
    </row>
    <row r="70" spans="1:6" ht="15" customHeight="1" x14ac:dyDescent="0.25"/>
  </sheetData>
  <mergeCells count="14">
    <mergeCell ref="A62:D62"/>
    <mergeCell ref="A63:D63"/>
    <mergeCell ref="C52:E52"/>
    <mergeCell ref="A57:D57"/>
    <mergeCell ref="A58:D58"/>
    <mergeCell ref="A59:D59"/>
    <mergeCell ref="A60:D60"/>
    <mergeCell ref="A61:D61"/>
    <mergeCell ref="C51:E51"/>
    <mergeCell ref="C7:C8"/>
    <mergeCell ref="A10:D13"/>
    <mergeCell ref="A15:D15"/>
    <mergeCell ref="C49:E49"/>
    <mergeCell ref="C50:E50"/>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&amp;C&amp;F</oddHeader>
    <oddFooter>&amp;L&amp;1#&amp;"Calibri,Regular"&amp;10&amp;K000000Teledyne Confidential; Commercially Sensitive Business Data&amp;C&amp;A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7"/>
  <sheetViews>
    <sheetView workbookViewId="0">
      <selection activeCell="C6" sqref="C6"/>
    </sheetView>
  </sheetViews>
  <sheetFormatPr defaultRowHeight="13.2" x14ac:dyDescent="0.25"/>
  <cols>
    <col min="1" max="1" width="6.109375" bestFit="1" customWidth="1"/>
    <col min="2" max="2" width="86.44140625" customWidth="1"/>
    <col min="3" max="3" width="8.109375" bestFit="1" customWidth="1"/>
    <col min="4" max="4" width="9" bestFit="1" customWidth="1"/>
  </cols>
  <sheetData>
    <row r="1" spans="1:4" ht="18" thickBot="1" x14ac:dyDescent="0.3">
      <c r="A1" s="462" t="s">
        <v>181</v>
      </c>
      <c r="B1" s="463"/>
      <c r="C1" s="463"/>
      <c r="D1" s="464"/>
    </row>
    <row r="2" spans="1:4" ht="15.6" x14ac:dyDescent="0.25">
      <c r="A2" s="243" t="s">
        <v>182</v>
      </c>
      <c r="B2" s="244" t="s">
        <v>183</v>
      </c>
      <c r="C2" s="244" t="s">
        <v>184</v>
      </c>
      <c r="D2" s="245" t="s">
        <v>185</v>
      </c>
    </row>
    <row r="3" spans="1:4" ht="27.6" x14ac:dyDescent="0.25">
      <c r="A3" s="246" t="s">
        <v>178</v>
      </c>
      <c r="B3" s="254" t="s">
        <v>201</v>
      </c>
      <c r="C3" s="247">
        <v>12698</v>
      </c>
      <c r="D3" s="248">
        <v>41813</v>
      </c>
    </row>
    <row r="4" spans="1:4" ht="13.8" x14ac:dyDescent="0.25">
      <c r="A4" s="246" t="s">
        <v>325</v>
      </c>
      <c r="B4" s="386" t="s">
        <v>326</v>
      </c>
      <c r="C4" s="247">
        <v>13994</v>
      </c>
      <c r="D4" s="248">
        <v>43298</v>
      </c>
    </row>
    <row r="5" spans="1:4" ht="27.6" x14ac:dyDescent="0.25">
      <c r="A5" s="246" t="s">
        <v>320</v>
      </c>
      <c r="B5" s="254" t="s">
        <v>327</v>
      </c>
      <c r="C5" s="247">
        <v>14841</v>
      </c>
      <c r="D5" s="248">
        <v>44888</v>
      </c>
    </row>
    <row r="6" spans="1:4" ht="13.8" x14ac:dyDescent="0.25">
      <c r="A6" s="246"/>
      <c r="B6" s="254"/>
      <c r="C6" s="247"/>
      <c r="D6" s="268"/>
    </row>
    <row r="7" spans="1:4" ht="14.4" thickBot="1" x14ac:dyDescent="0.3">
      <c r="A7" s="249"/>
      <c r="B7" s="250"/>
      <c r="C7" s="251"/>
      <c r="D7" s="252"/>
    </row>
  </sheetData>
  <mergeCells count="1">
    <mergeCell ref="A1:D1"/>
  </mergeCells>
  <pageMargins left="0.7" right="0.7" top="0.75" bottom="0.75" header="0.3" footer="0.3"/>
  <pageSetup scale="77" orientation="portrait" verticalDpi="90" r:id="rId1"/>
  <headerFooter>
    <oddHeader>&amp;C&amp;F</oddHeader>
    <oddFooter>&amp;L&amp;1#&amp;"Calibri,Regular"&amp;10&amp;K000000Teledyne Confidential; Commercially Sensitive Business Data&amp;C&amp;A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8D35A-197D-4D3C-BA1B-F7E5F92071A8}">
  <dimension ref="A1:C3"/>
  <sheetViews>
    <sheetView tabSelected="1" workbookViewId="0">
      <selection activeCell="S9" sqref="S9"/>
    </sheetView>
  </sheetViews>
  <sheetFormatPr defaultRowHeight="13.2" x14ac:dyDescent="0.25"/>
  <cols>
    <col min="1" max="1" width="9.109375" bestFit="1" customWidth="1"/>
  </cols>
  <sheetData>
    <row r="1" spans="1:3" x14ac:dyDescent="0.25">
      <c r="A1" t="s">
        <v>331</v>
      </c>
      <c r="B1" t="s">
        <v>332</v>
      </c>
      <c r="C1" t="s">
        <v>333</v>
      </c>
    </row>
    <row r="2" spans="1:3" x14ac:dyDescent="0.25">
      <c r="A2" s="466">
        <v>45881</v>
      </c>
      <c r="B2" t="s">
        <v>334</v>
      </c>
      <c r="C2" t="s">
        <v>335</v>
      </c>
    </row>
    <row r="3" spans="1:3" x14ac:dyDescent="0.25">
      <c r="C3" t="s">
        <v>336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Constants</vt:lpstr>
      <vt:lpstr>Worksheet</vt:lpstr>
      <vt:lpstr>G1</vt:lpstr>
      <vt:lpstr>G2</vt:lpstr>
      <vt:lpstr>G3</vt:lpstr>
      <vt:lpstr>G3 (External Only)</vt:lpstr>
      <vt:lpstr>Revision History</vt:lpstr>
      <vt:lpstr>Notes</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VerWey, Brian</cp:lastModifiedBy>
  <cp:lastPrinted>2022-11-23T15:30:21Z</cp:lastPrinted>
  <dcterms:created xsi:type="dcterms:W3CDTF">2004-03-12T20:33:34Z</dcterms:created>
  <dcterms:modified xsi:type="dcterms:W3CDTF">2025-08-12T19:19:05Z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2022-11-23T18:40:24Z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ies>
</file>